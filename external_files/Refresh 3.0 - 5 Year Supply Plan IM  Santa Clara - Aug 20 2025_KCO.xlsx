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rdiscorp-my.sharepoint.com/personal/maria_diazalba_cordis_com/Documents/0 MARIA/SKU Demand/Conor/"/>
    </mc:Choice>
  </mc:AlternateContent>
  <xr:revisionPtr revIDLastSave="276" documentId="8_{85443886-CFE6-4D9E-805F-935288FFE40D}" xr6:coauthVersionLast="47" xr6:coauthVersionMax="47" xr10:uidLastSave="{1C3279C3-123A-420B-BF65-293C2D6099BB}"/>
  <bookViews>
    <workbookView xWindow="28680" yWindow="-120" windowWidth="29040" windowHeight="15720" activeTab="1" xr2:uid="{00000000-000D-0000-FFFF-FFFF00000000}"/>
  </bookViews>
  <sheets>
    <sheet name="5 Year Supply Plan" sheetId="30879" r:id="rId1"/>
    <sheet name="JZ_BRAND SPLITS" sheetId="30880" r:id="rId2"/>
    <sheet name="MYNX" sheetId="30881" r:id="rId3"/>
    <sheet name="SELUTION" sheetId="30882" r:id="rId4"/>
    <sheet name="SUMMARY" sheetId="30883" r:id="rId5"/>
  </sheets>
  <definedNames>
    <definedName name="_xlnm._FilterDatabase" localSheetId="0" hidden="1">'5 Year Supply Plan'!$A$3:$BO$49</definedName>
    <definedName name="_xlnm._FilterDatabase" localSheetId="1" hidden="1">'JZ_BRAND SPLITS'!$A$2:$DV$79</definedName>
    <definedName name="PivotDa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0880" l="1"/>
  <c r="F78" i="30880" l="1"/>
  <c r="G78" i="30880" s="1"/>
  <c r="H78" i="30880"/>
  <c r="I78" i="30880" s="1"/>
  <c r="J78" i="30880"/>
  <c r="K78" i="30880" s="1"/>
  <c r="L78" i="30880"/>
  <c r="M78" i="30880" s="1"/>
  <c r="N78" i="30880"/>
  <c r="O78" i="30880" s="1"/>
  <c r="P78" i="30880"/>
  <c r="Q78" i="30880" s="1"/>
  <c r="R78" i="30880"/>
  <c r="S78" i="30880" s="1"/>
  <c r="T78" i="30880"/>
  <c r="U78" i="30880" s="1"/>
  <c r="V78" i="30880"/>
  <c r="W78" i="30880" s="1"/>
  <c r="X78" i="30880"/>
  <c r="Y78" i="30880" s="1"/>
  <c r="Z78" i="30880"/>
  <c r="AA78" i="30880" s="1"/>
  <c r="AB78" i="30880"/>
  <c r="AC78" i="30880" s="1"/>
  <c r="AD78" i="30880"/>
  <c r="AE78" i="30880" s="1"/>
  <c r="AF78" i="30880"/>
  <c r="AG78" i="30880" s="1"/>
  <c r="AH78" i="30880"/>
  <c r="AI78" i="30880" s="1"/>
  <c r="AJ78" i="30880"/>
  <c r="AK78" i="30880" s="1"/>
  <c r="AL78" i="30880"/>
  <c r="AM78" i="30880" s="1"/>
  <c r="AN78" i="30880"/>
  <c r="AO78" i="30880" s="1"/>
  <c r="AP78" i="30880"/>
  <c r="AQ78" i="30880" s="1"/>
  <c r="AR78" i="30880"/>
  <c r="AS78" i="30880" s="1"/>
  <c r="AT78" i="30880"/>
  <c r="AU78" i="30880" s="1"/>
  <c r="AV78" i="30880"/>
  <c r="AW78" i="30880" s="1"/>
  <c r="AX78" i="30880"/>
  <c r="AY78" i="30880" s="1"/>
  <c r="AZ78" i="30880"/>
  <c r="BA78" i="30880" s="1"/>
  <c r="BB78" i="30880"/>
  <c r="BC78" i="30880" s="1"/>
  <c r="BD78" i="30880"/>
  <c r="BE78" i="30880" s="1"/>
  <c r="BF78" i="30880"/>
  <c r="BG78" i="30880" s="1"/>
  <c r="BH78" i="30880"/>
  <c r="BI78" i="30880" s="1"/>
  <c r="BJ78" i="30880"/>
  <c r="BK78" i="30880" s="1"/>
  <c r="BL78" i="30880"/>
  <c r="BM78" i="30880" s="1"/>
  <c r="BN78" i="30880"/>
  <c r="BO78" i="30880" s="1"/>
  <c r="BP78" i="30880"/>
  <c r="BQ78" i="30880" s="1"/>
  <c r="BR78" i="30880"/>
  <c r="BS78" i="30880" s="1"/>
  <c r="BT78" i="30880"/>
  <c r="BU78" i="30880" s="1"/>
  <c r="BV78" i="30880"/>
  <c r="BW78" i="30880" s="1"/>
  <c r="BX78" i="30880"/>
  <c r="BY78" i="30880" s="1"/>
  <c r="BZ78" i="30880"/>
  <c r="CA78" i="30880" s="1"/>
  <c r="CB78" i="30880"/>
  <c r="CC78" i="30880" s="1"/>
  <c r="CD78" i="30880"/>
  <c r="CE78" i="30880" s="1"/>
  <c r="CF78" i="30880"/>
  <c r="CG78" i="30880" s="1"/>
  <c r="CH78" i="30880"/>
  <c r="CI78" i="30880" s="1"/>
  <c r="CJ78" i="30880"/>
  <c r="CK78" i="30880" s="1"/>
  <c r="CL78" i="30880"/>
  <c r="CM78" i="30880" s="1"/>
  <c r="CN78" i="30880"/>
  <c r="CO78" i="30880" s="1"/>
  <c r="CP78" i="30880"/>
  <c r="CQ78" i="30880" s="1"/>
  <c r="CR78" i="30880"/>
  <c r="CS78" i="30880" s="1"/>
  <c r="CT78" i="30880"/>
  <c r="CU78" i="30880" s="1"/>
  <c r="CV78" i="30880"/>
  <c r="CW78" i="30880" s="1"/>
  <c r="CX78" i="30880"/>
  <c r="CY78" i="30880" s="1"/>
  <c r="CZ78" i="30880"/>
  <c r="DA78" i="30880" s="1"/>
  <c r="DB78" i="30880"/>
  <c r="DC78" i="30880" s="1"/>
  <c r="DD78" i="30880"/>
  <c r="DE78" i="30880" s="1"/>
  <c r="DF78" i="30880"/>
  <c r="DG78" i="30880" s="1"/>
  <c r="DH78" i="30880"/>
  <c r="DI78" i="30880" s="1"/>
  <c r="DJ78" i="30880"/>
  <c r="DK78" i="30880" s="1"/>
  <c r="DL78" i="30880"/>
  <c r="DM78" i="30880" s="1"/>
  <c r="DN78" i="30880"/>
  <c r="DO78" i="30880" s="1"/>
  <c r="DP78" i="30880"/>
  <c r="DQ78" i="30880" s="1"/>
  <c r="DR78" i="30880"/>
  <c r="DS78" i="30880" s="1"/>
  <c r="F79" i="30880"/>
  <c r="G79" i="30880" s="1"/>
  <c r="H79" i="30880"/>
  <c r="I79" i="30880" s="1"/>
  <c r="J79" i="30880"/>
  <c r="K79" i="30880" s="1"/>
  <c r="L79" i="30880"/>
  <c r="M79" i="30880" s="1"/>
  <c r="N79" i="30880"/>
  <c r="O79" i="30880" s="1"/>
  <c r="P79" i="30880"/>
  <c r="Q79" i="30880" s="1"/>
  <c r="R79" i="30880"/>
  <c r="S79" i="30880" s="1"/>
  <c r="T79" i="30880"/>
  <c r="U79" i="30880" s="1"/>
  <c r="V79" i="30880"/>
  <c r="W79" i="30880" s="1"/>
  <c r="X79" i="30880"/>
  <c r="Y79" i="30880" s="1"/>
  <c r="Z79" i="30880"/>
  <c r="AA79" i="30880" s="1"/>
  <c r="AB79" i="30880"/>
  <c r="AC79" i="30880" s="1"/>
  <c r="AD79" i="30880"/>
  <c r="AE79" i="30880" s="1"/>
  <c r="AF79" i="30880"/>
  <c r="AG79" i="30880" s="1"/>
  <c r="AH79" i="30880"/>
  <c r="AI79" i="30880" s="1"/>
  <c r="AJ79" i="30880"/>
  <c r="AK79" i="30880" s="1"/>
  <c r="AL79" i="30880"/>
  <c r="AM79" i="30880" s="1"/>
  <c r="AN79" i="30880"/>
  <c r="AO79" i="30880" s="1"/>
  <c r="AP79" i="30880"/>
  <c r="AQ79" i="30880" s="1"/>
  <c r="AR79" i="30880"/>
  <c r="AS79" i="30880" s="1"/>
  <c r="AT79" i="30880"/>
  <c r="AU79" i="30880" s="1"/>
  <c r="AV79" i="30880"/>
  <c r="AW79" i="30880" s="1"/>
  <c r="AX79" i="30880"/>
  <c r="AY79" i="30880" s="1"/>
  <c r="AZ79" i="30880"/>
  <c r="BA79" i="30880" s="1"/>
  <c r="BB79" i="30880"/>
  <c r="BC79" i="30880" s="1"/>
  <c r="BD79" i="30880"/>
  <c r="BE79" i="30880" s="1"/>
  <c r="BF79" i="30880"/>
  <c r="BG79" i="30880" s="1"/>
  <c r="BH79" i="30880"/>
  <c r="BI79" i="30880" s="1"/>
  <c r="BJ79" i="30880"/>
  <c r="BK79" i="30880" s="1"/>
  <c r="BL79" i="30880"/>
  <c r="BM79" i="30880" s="1"/>
  <c r="BN79" i="30880"/>
  <c r="BO79" i="30880" s="1"/>
  <c r="BP79" i="30880"/>
  <c r="BQ79" i="30880" s="1"/>
  <c r="BR79" i="30880"/>
  <c r="BS79" i="30880" s="1"/>
  <c r="BT79" i="30880"/>
  <c r="BU79" i="30880" s="1"/>
  <c r="BV79" i="30880"/>
  <c r="BW79" i="30880" s="1"/>
  <c r="BX79" i="30880"/>
  <c r="BY79" i="30880" s="1"/>
  <c r="BZ79" i="30880"/>
  <c r="CA79" i="30880" s="1"/>
  <c r="CB79" i="30880"/>
  <c r="CC79" i="30880" s="1"/>
  <c r="CD79" i="30880"/>
  <c r="CE79" i="30880" s="1"/>
  <c r="CF79" i="30880"/>
  <c r="CG79" i="30880" s="1"/>
  <c r="CH79" i="30880"/>
  <c r="CI79" i="30880" s="1"/>
  <c r="CJ79" i="30880"/>
  <c r="CK79" i="30880" s="1"/>
  <c r="CL79" i="30880"/>
  <c r="CM79" i="30880" s="1"/>
  <c r="CN79" i="30880"/>
  <c r="CO79" i="30880" s="1"/>
  <c r="CP79" i="30880"/>
  <c r="CQ79" i="30880" s="1"/>
  <c r="CR79" i="30880"/>
  <c r="CS79" i="30880" s="1"/>
  <c r="CT79" i="30880"/>
  <c r="CU79" i="30880" s="1"/>
  <c r="CV79" i="30880"/>
  <c r="CW79" i="30880" s="1"/>
  <c r="CX79" i="30880"/>
  <c r="CY79" i="30880" s="1"/>
  <c r="CZ79" i="30880"/>
  <c r="DA79" i="30880" s="1"/>
  <c r="DB79" i="30880"/>
  <c r="DC79" i="30880" s="1"/>
  <c r="DD79" i="30880"/>
  <c r="DE79" i="30880" s="1"/>
  <c r="DF79" i="30880"/>
  <c r="DG79" i="30880" s="1"/>
  <c r="DH79" i="30880"/>
  <c r="DI79" i="30880" s="1"/>
  <c r="DJ79" i="30880"/>
  <c r="DK79" i="30880" s="1"/>
  <c r="DL79" i="30880"/>
  <c r="DM79" i="30880" s="1"/>
  <c r="DN79" i="30880"/>
  <c r="DO79" i="30880" s="1"/>
  <c r="DP79" i="30880"/>
  <c r="DQ79" i="30880" s="1"/>
  <c r="DR79" i="30880"/>
  <c r="DS79" i="30880" s="1"/>
  <c r="DU79" i="30880"/>
  <c r="D79" i="30880"/>
  <c r="D78" i="30880"/>
  <c r="F9" i="30880"/>
  <c r="BO48" i="30879"/>
  <c r="DU78" i="30880" s="1"/>
  <c r="D5" i="30881"/>
  <c r="E5" i="30881"/>
  <c r="F5" i="30881"/>
  <c r="G5" i="30881"/>
  <c r="H5" i="30881"/>
  <c r="I5" i="30881"/>
  <c r="J5" i="30881"/>
  <c r="K5" i="30881"/>
  <c r="L5" i="30881"/>
  <c r="M5" i="30881"/>
  <c r="N5" i="30881"/>
  <c r="O5" i="30881"/>
  <c r="P5" i="30881"/>
  <c r="Q5" i="30881"/>
  <c r="R5" i="30881"/>
  <c r="S5" i="30881"/>
  <c r="T5" i="30881"/>
  <c r="U5" i="30881"/>
  <c r="V5" i="30881"/>
  <c r="W5" i="30881"/>
  <c r="X5" i="30881"/>
  <c r="Y5" i="30881"/>
  <c r="Z5" i="30881"/>
  <c r="AA5" i="30881"/>
  <c r="AB5" i="30881"/>
  <c r="AC5" i="30881"/>
  <c r="AD5" i="30881"/>
  <c r="AE5" i="30881"/>
  <c r="AF5" i="30881"/>
  <c r="AG5" i="30881"/>
  <c r="AH5" i="30881"/>
  <c r="AI5" i="30881"/>
  <c r="AJ5" i="30881"/>
  <c r="AK5" i="30881"/>
  <c r="AL5" i="30881"/>
  <c r="AM5" i="30881"/>
  <c r="AN5" i="30881"/>
  <c r="AO5" i="30881"/>
  <c r="AP5" i="30881"/>
  <c r="AQ5" i="30881"/>
  <c r="AR5" i="30881"/>
  <c r="AS5" i="30881"/>
  <c r="AT5" i="30881"/>
  <c r="AU5" i="30881"/>
  <c r="AV5" i="30881"/>
  <c r="AW5" i="30881"/>
  <c r="AX5" i="30881"/>
  <c r="AY5" i="30881"/>
  <c r="AZ5" i="30881"/>
  <c r="BA5" i="30881"/>
  <c r="BB5" i="30881"/>
  <c r="BC5" i="30881"/>
  <c r="BD5" i="30881"/>
  <c r="BE5" i="30881"/>
  <c r="BF5" i="30881"/>
  <c r="BG5" i="30881"/>
  <c r="BH5" i="30881"/>
  <c r="BI5" i="30881"/>
  <c r="C5" i="30881"/>
  <c r="DT78" i="30880" l="1"/>
  <c r="DT79" i="30880"/>
  <c r="H51" i="30879" l="1"/>
  <c r="H2" i="30879"/>
  <c r="I51" i="30879"/>
  <c r="J51" i="30879"/>
  <c r="K51" i="30879"/>
  <c r="L51" i="30879"/>
  <c r="M51" i="30879"/>
  <c r="N51" i="30879"/>
  <c r="O51" i="30879"/>
  <c r="P51" i="30879"/>
  <c r="Q51" i="30879"/>
  <c r="R51" i="30879"/>
  <c r="S51" i="30879"/>
  <c r="T51" i="30879"/>
  <c r="U51" i="30879"/>
  <c r="V51" i="30879"/>
  <c r="W51" i="30879"/>
  <c r="X51" i="30879"/>
  <c r="Y51" i="30879"/>
  <c r="Z51" i="30879"/>
  <c r="AA51" i="30879"/>
  <c r="AB51" i="30879"/>
  <c r="AC51" i="30879"/>
  <c r="AD51" i="30879"/>
  <c r="AE51" i="30879"/>
  <c r="AF51" i="30879"/>
  <c r="AG51" i="30879"/>
  <c r="AH51" i="30879"/>
  <c r="AI51" i="30879"/>
  <c r="AJ51" i="30879"/>
  <c r="AK51" i="30879"/>
  <c r="AL51" i="30879"/>
  <c r="AM51" i="30879"/>
  <c r="AN51" i="30879"/>
  <c r="AO51" i="30879"/>
  <c r="AP51" i="30879"/>
  <c r="AQ51" i="30879"/>
  <c r="AR51" i="30879"/>
  <c r="AS51" i="30879"/>
  <c r="AT51" i="30879"/>
  <c r="AU51" i="30879"/>
  <c r="AV51" i="30879"/>
  <c r="AW51" i="30879"/>
  <c r="AX51" i="30879"/>
  <c r="AY51" i="30879"/>
  <c r="AZ51" i="30879"/>
  <c r="BA51" i="30879"/>
  <c r="BB51" i="30879"/>
  <c r="BC51" i="30879"/>
  <c r="BD51" i="30879"/>
  <c r="BE51" i="30879"/>
  <c r="BF51" i="30879"/>
  <c r="BG51" i="30879"/>
  <c r="BH51" i="30879"/>
  <c r="BI51" i="30879"/>
  <c r="BJ51" i="30879"/>
  <c r="BK51" i="30879"/>
  <c r="BL51" i="30879"/>
  <c r="BM51" i="30879"/>
  <c r="BN51" i="30879"/>
  <c r="BO47" i="30879"/>
  <c r="BO12" i="30879"/>
  <c r="DN4" i="30880" l="1"/>
  <c r="DN5" i="30880"/>
  <c r="DO5" i="30880" s="1"/>
  <c r="DN6" i="30880"/>
  <c r="DO6" i="30880" s="1"/>
  <c r="DN7" i="30880"/>
  <c r="DO7" i="30880" s="1"/>
  <c r="DN8" i="30880"/>
  <c r="DO8" i="30880" s="1"/>
  <c r="DN9" i="30880"/>
  <c r="DO9" i="30880" s="1"/>
  <c r="DN10" i="30880"/>
  <c r="DO10" i="30880" s="1"/>
  <c r="DN11" i="30880"/>
  <c r="DO11" i="30880" s="1"/>
  <c r="DN12" i="30880"/>
  <c r="DO12" i="30880" s="1"/>
  <c r="DN13" i="30880"/>
  <c r="DO13" i="30880" s="1"/>
  <c r="DN14" i="30880"/>
  <c r="DO14" i="30880" s="1"/>
  <c r="DN15" i="30880"/>
  <c r="DO15" i="30880" s="1"/>
  <c r="DN16" i="30880"/>
  <c r="DO16" i="30880" s="1"/>
  <c r="DN17" i="30880"/>
  <c r="DO17" i="30880" s="1"/>
  <c r="DN18" i="30880"/>
  <c r="DO18" i="30880" s="1"/>
  <c r="DN19" i="30880"/>
  <c r="DO19" i="30880" s="1"/>
  <c r="DN20" i="30880"/>
  <c r="DO20" i="30880" s="1"/>
  <c r="DN21" i="30880"/>
  <c r="DO21" i="30880" s="1"/>
  <c r="DN22" i="30880"/>
  <c r="DO22" i="30880" s="1"/>
  <c r="DN23" i="30880"/>
  <c r="DO23" i="30880" s="1"/>
  <c r="DN24" i="30880"/>
  <c r="DO24" i="30880" s="1"/>
  <c r="DN25" i="30880"/>
  <c r="DO25" i="30880" s="1"/>
  <c r="DN26" i="30880"/>
  <c r="DO26" i="30880" s="1"/>
  <c r="DN27" i="30880"/>
  <c r="DO27" i="30880" s="1"/>
  <c r="DN28" i="30880"/>
  <c r="DO28" i="30880" s="1"/>
  <c r="DN29" i="30880"/>
  <c r="DO29" i="30880" s="1"/>
  <c r="DN30" i="30880"/>
  <c r="DO30" i="30880" s="1"/>
  <c r="DN31" i="30880"/>
  <c r="DO31" i="30880" s="1"/>
  <c r="DN32" i="30880"/>
  <c r="DO32" i="30880" s="1"/>
  <c r="DN33" i="30880"/>
  <c r="DO33" i="30880" s="1"/>
  <c r="DN34" i="30880"/>
  <c r="DO34" i="30880" s="1"/>
  <c r="DN35" i="30880"/>
  <c r="DO35" i="30880" s="1"/>
  <c r="DN36" i="30880"/>
  <c r="DO36" i="30880" s="1"/>
  <c r="DN37" i="30880"/>
  <c r="DO37" i="30880" s="1"/>
  <c r="DN38" i="30880"/>
  <c r="DO38" i="30880" s="1"/>
  <c r="DN39" i="30880"/>
  <c r="DO39" i="30880" s="1"/>
  <c r="DN40" i="30880"/>
  <c r="DO40" i="30880" s="1"/>
  <c r="DN41" i="30880"/>
  <c r="DO41" i="30880" s="1"/>
  <c r="DN42" i="30880"/>
  <c r="DO42" i="30880" s="1"/>
  <c r="DN43" i="30880"/>
  <c r="DO43" i="30880" s="1"/>
  <c r="DN44" i="30880"/>
  <c r="DO44" i="30880" s="1"/>
  <c r="DN45" i="30880"/>
  <c r="DO45" i="30880" s="1"/>
  <c r="DN46" i="30880"/>
  <c r="DO46" i="30880" s="1"/>
  <c r="DN47" i="30880"/>
  <c r="DO47" i="30880" s="1"/>
  <c r="DN48" i="30880"/>
  <c r="DO48" i="30880" s="1"/>
  <c r="DN49" i="30880"/>
  <c r="DO49" i="30880" s="1"/>
  <c r="DN50" i="30880"/>
  <c r="DO50" i="30880" s="1"/>
  <c r="DN51" i="30880"/>
  <c r="DO51" i="30880" s="1"/>
  <c r="DN52" i="30880"/>
  <c r="DO52" i="30880" s="1"/>
  <c r="DN53" i="30880"/>
  <c r="DO53" i="30880" s="1"/>
  <c r="DN54" i="30880"/>
  <c r="DO54" i="30880" s="1"/>
  <c r="DN55" i="30880"/>
  <c r="DO55" i="30880" s="1"/>
  <c r="DN56" i="30880"/>
  <c r="DO56" i="30880" s="1"/>
  <c r="DN57" i="30880"/>
  <c r="DO57" i="30880" s="1"/>
  <c r="DN58" i="30880"/>
  <c r="DO58" i="30880" s="1"/>
  <c r="DN59" i="30880"/>
  <c r="DO59" i="30880" s="1"/>
  <c r="DN60" i="30880"/>
  <c r="DO60" i="30880" s="1"/>
  <c r="DN61" i="30880"/>
  <c r="DO61" i="30880" s="1"/>
  <c r="DN62" i="30880"/>
  <c r="DO62" i="30880" s="1"/>
  <c r="DN63" i="30880"/>
  <c r="DO63" i="30880" s="1"/>
  <c r="DN64" i="30880"/>
  <c r="DO64" i="30880" s="1"/>
  <c r="DN65" i="30880"/>
  <c r="DO65" i="30880" s="1"/>
  <c r="DN66" i="30880"/>
  <c r="DO66" i="30880" s="1"/>
  <c r="DN67" i="30880"/>
  <c r="DO67" i="30880" s="1"/>
  <c r="DN68" i="30880"/>
  <c r="DO68" i="30880" s="1"/>
  <c r="DN69" i="30880"/>
  <c r="DO69" i="30880" s="1"/>
  <c r="DN70" i="30880"/>
  <c r="DO70" i="30880" s="1"/>
  <c r="DN71" i="30880"/>
  <c r="DO71" i="30880" s="1"/>
  <c r="DN72" i="30880"/>
  <c r="DO72" i="30880" s="1"/>
  <c r="DN73" i="30880"/>
  <c r="DO73" i="30880" s="1"/>
  <c r="DN74" i="30880"/>
  <c r="DO74" i="30880" s="1"/>
  <c r="DN75" i="30880"/>
  <c r="DO75" i="30880" s="1"/>
  <c r="DN76" i="30880"/>
  <c r="DO76" i="30880" s="1"/>
  <c r="DN77" i="30880"/>
  <c r="DO77" i="30880" s="1"/>
  <c r="DN3" i="30880"/>
  <c r="DO3" i="30880" s="1"/>
  <c r="E1" i="30880"/>
  <c r="AT4" i="30880"/>
  <c r="AU4" i="30880" s="1"/>
  <c r="AV4" i="30880"/>
  <c r="AW4" i="30880" s="1"/>
  <c r="AX4" i="30880"/>
  <c r="AY4" i="30880" s="1"/>
  <c r="AZ4" i="30880"/>
  <c r="BA4" i="30880" s="1"/>
  <c r="BB4" i="30880"/>
  <c r="BC4" i="30880" s="1"/>
  <c r="BD4" i="30880"/>
  <c r="BE4" i="30880" s="1"/>
  <c r="BF4" i="30880"/>
  <c r="BG4" i="30880" s="1"/>
  <c r="BH4" i="30880"/>
  <c r="BI4" i="30880" s="1"/>
  <c r="BJ4" i="30880"/>
  <c r="BK4" i="30880" s="1"/>
  <c r="BL4" i="30880"/>
  <c r="BM4" i="30880" s="1"/>
  <c r="BN4" i="30880"/>
  <c r="BO4" i="30880" s="1"/>
  <c r="BP4" i="30880"/>
  <c r="BQ4" i="30880" s="1"/>
  <c r="BR4" i="30880"/>
  <c r="BS4" i="30880" s="1"/>
  <c r="BT4" i="30880"/>
  <c r="BU4" i="30880" s="1"/>
  <c r="BV4" i="30880"/>
  <c r="BW4" i="30880" s="1"/>
  <c r="BX4" i="30880"/>
  <c r="BY4" i="30880" s="1"/>
  <c r="BZ4" i="30880"/>
  <c r="CA4" i="30880" s="1"/>
  <c r="CB4" i="30880"/>
  <c r="CC4" i="30880" s="1"/>
  <c r="CD4" i="30880"/>
  <c r="CE4" i="30880" s="1"/>
  <c r="CF4" i="30880"/>
  <c r="CG4" i="30880" s="1"/>
  <c r="CH4" i="30880"/>
  <c r="CI4" i="30880" s="1"/>
  <c r="CJ4" i="30880"/>
  <c r="CK4" i="30880" s="1"/>
  <c r="CL4" i="30880"/>
  <c r="CM4" i="30880" s="1"/>
  <c r="CN4" i="30880"/>
  <c r="CO4" i="30880" s="1"/>
  <c r="CP4" i="30880"/>
  <c r="CQ4" i="30880" s="1"/>
  <c r="CR4" i="30880"/>
  <c r="CS4" i="30880" s="1"/>
  <c r="CT4" i="30880"/>
  <c r="CU4" i="30880" s="1"/>
  <c r="CV4" i="30880"/>
  <c r="CW4" i="30880" s="1"/>
  <c r="CX4" i="30880"/>
  <c r="CY4" i="30880" s="1"/>
  <c r="CZ4" i="30880"/>
  <c r="DA4" i="30880" s="1"/>
  <c r="DB4" i="30880"/>
  <c r="DC4" i="30880" s="1"/>
  <c r="DD4" i="30880"/>
  <c r="DE4" i="30880" s="1"/>
  <c r="DF4" i="30880"/>
  <c r="DG4" i="30880" s="1"/>
  <c r="DH4" i="30880"/>
  <c r="DI4" i="30880" s="1"/>
  <c r="DJ4" i="30880"/>
  <c r="DK4" i="30880" s="1"/>
  <c r="DL4" i="30880"/>
  <c r="DM4" i="30880" s="1"/>
  <c r="DO4" i="30880"/>
  <c r="DP4" i="30880"/>
  <c r="DQ4" i="30880" s="1"/>
  <c r="DR4" i="30880"/>
  <c r="DS4" i="30880" s="1"/>
  <c r="AT5" i="30880"/>
  <c r="AU5" i="30880" s="1"/>
  <c r="AV5" i="30880"/>
  <c r="AW5" i="30880" s="1"/>
  <c r="AX5" i="30880"/>
  <c r="AY5" i="30880" s="1"/>
  <c r="AZ5" i="30880"/>
  <c r="BA5" i="30880" s="1"/>
  <c r="BB5" i="30880"/>
  <c r="BC5" i="30880" s="1"/>
  <c r="BD5" i="30880"/>
  <c r="BE5" i="30880" s="1"/>
  <c r="BF5" i="30880"/>
  <c r="BG5" i="30880" s="1"/>
  <c r="BH5" i="30880"/>
  <c r="BI5" i="30880" s="1"/>
  <c r="BJ5" i="30880"/>
  <c r="BK5" i="30880" s="1"/>
  <c r="BL5" i="30880"/>
  <c r="BM5" i="30880" s="1"/>
  <c r="BN5" i="30880"/>
  <c r="BO5" i="30880" s="1"/>
  <c r="BP5" i="30880"/>
  <c r="BQ5" i="30880" s="1"/>
  <c r="BR5" i="30880"/>
  <c r="BS5" i="30880" s="1"/>
  <c r="BT5" i="30880"/>
  <c r="BU5" i="30880" s="1"/>
  <c r="BV5" i="30880"/>
  <c r="BW5" i="30880" s="1"/>
  <c r="BX5" i="30880"/>
  <c r="BY5" i="30880" s="1"/>
  <c r="BZ5" i="30880"/>
  <c r="CA5" i="30880" s="1"/>
  <c r="CB5" i="30880"/>
  <c r="CC5" i="30880" s="1"/>
  <c r="CD5" i="30880"/>
  <c r="CE5" i="30880" s="1"/>
  <c r="CF5" i="30880"/>
  <c r="CG5" i="30880" s="1"/>
  <c r="CH5" i="30880"/>
  <c r="CI5" i="30880" s="1"/>
  <c r="CJ5" i="30880"/>
  <c r="CK5" i="30880" s="1"/>
  <c r="CL5" i="30880"/>
  <c r="CM5" i="30880" s="1"/>
  <c r="CN5" i="30880"/>
  <c r="CO5" i="30880" s="1"/>
  <c r="CP5" i="30880"/>
  <c r="CQ5" i="30880" s="1"/>
  <c r="CR5" i="30880"/>
  <c r="CS5" i="30880" s="1"/>
  <c r="CT5" i="30880"/>
  <c r="CU5" i="30880" s="1"/>
  <c r="CV5" i="30880"/>
  <c r="CW5" i="30880" s="1"/>
  <c r="CX5" i="30880"/>
  <c r="CY5" i="30880" s="1"/>
  <c r="CZ5" i="30880"/>
  <c r="DA5" i="30880" s="1"/>
  <c r="DB5" i="30880"/>
  <c r="DC5" i="30880" s="1"/>
  <c r="DD5" i="30880"/>
  <c r="DE5" i="30880" s="1"/>
  <c r="DF5" i="30880"/>
  <c r="DG5" i="30880" s="1"/>
  <c r="DH5" i="30880"/>
  <c r="DI5" i="30880" s="1"/>
  <c r="DJ5" i="30880"/>
  <c r="DK5" i="30880" s="1"/>
  <c r="DL5" i="30880"/>
  <c r="DM5" i="30880" s="1"/>
  <c r="DP5" i="30880"/>
  <c r="DQ5" i="30880" s="1"/>
  <c r="DR5" i="30880"/>
  <c r="DS5" i="30880" s="1"/>
  <c r="AT6" i="30880"/>
  <c r="AU6" i="30880" s="1"/>
  <c r="AV6" i="30880"/>
  <c r="AW6" i="30880" s="1"/>
  <c r="AX6" i="30880"/>
  <c r="AY6" i="30880" s="1"/>
  <c r="AZ6" i="30880"/>
  <c r="BA6" i="30880" s="1"/>
  <c r="BB6" i="30880"/>
  <c r="BC6" i="30880" s="1"/>
  <c r="BD6" i="30880"/>
  <c r="BE6" i="30880" s="1"/>
  <c r="BF6" i="30880"/>
  <c r="BG6" i="30880" s="1"/>
  <c r="BH6" i="30880"/>
  <c r="BI6" i="30880" s="1"/>
  <c r="BJ6" i="30880"/>
  <c r="BK6" i="30880" s="1"/>
  <c r="BL6" i="30880"/>
  <c r="BM6" i="30880" s="1"/>
  <c r="BN6" i="30880"/>
  <c r="BO6" i="30880" s="1"/>
  <c r="BP6" i="30880"/>
  <c r="BQ6" i="30880" s="1"/>
  <c r="BR6" i="30880"/>
  <c r="BS6" i="30880" s="1"/>
  <c r="BT6" i="30880"/>
  <c r="BU6" i="30880" s="1"/>
  <c r="BV6" i="30880"/>
  <c r="BW6" i="30880" s="1"/>
  <c r="BX6" i="30880"/>
  <c r="BY6" i="30880" s="1"/>
  <c r="BZ6" i="30880"/>
  <c r="CA6" i="30880" s="1"/>
  <c r="CB6" i="30880"/>
  <c r="CC6" i="30880" s="1"/>
  <c r="CD6" i="30880"/>
  <c r="CE6" i="30880" s="1"/>
  <c r="CF6" i="30880"/>
  <c r="CG6" i="30880" s="1"/>
  <c r="CH6" i="30880"/>
  <c r="CI6" i="30880" s="1"/>
  <c r="CJ6" i="30880"/>
  <c r="CK6" i="30880" s="1"/>
  <c r="CL6" i="30880"/>
  <c r="CM6" i="30880" s="1"/>
  <c r="CN6" i="30880"/>
  <c r="CO6" i="30880" s="1"/>
  <c r="CP6" i="30880"/>
  <c r="CQ6" i="30880" s="1"/>
  <c r="CR6" i="30880"/>
  <c r="CS6" i="30880" s="1"/>
  <c r="CT6" i="30880"/>
  <c r="CU6" i="30880" s="1"/>
  <c r="CV6" i="30880"/>
  <c r="CW6" i="30880" s="1"/>
  <c r="CX6" i="30880"/>
  <c r="CY6" i="30880" s="1"/>
  <c r="CZ6" i="30880"/>
  <c r="DA6" i="30880" s="1"/>
  <c r="DB6" i="30880"/>
  <c r="DC6" i="30880" s="1"/>
  <c r="DD6" i="30880"/>
  <c r="DE6" i="30880" s="1"/>
  <c r="DF6" i="30880"/>
  <c r="DG6" i="30880" s="1"/>
  <c r="DH6" i="30880"/>
  <c r="DI6" i="30880" s="1"/>
  <c r="DJ6" i="30880"/>
  <c r="DK6" i="30880" s="1"/>
  <c r="DL6" i="30880"/>
  <c r="DM6" i="30880" s="1"/>
  <c r="DP6" i="30880"/>
  <c r="DQ6" i="30880" s="1"/>
  <c r="DR6" i="30880"/>
  <c r="DS6" i="30880" s="1"/>
  <c r="AT7" i="30880"/>
  <c r="AU7" i="30880" s="1"/>
  <c r="AV7" i="30880"/>
  <c r="AW7" i="30880" s="1"/>
  <c r="AX7" i="30880"/>
  <c r="AY7" i="30880" s="1"/>
  <c r="AZ7" i="30880"/>
  <c r="BA7" i="30880" s="1"/>
  <c r="BB7" i="30880"/>
  <c r="BC7" i="30880" s="1"/>
  <c r="BD7" i="30880"/>
  <c r="BE7" i="30880" s="1"/>
  <c r="BF7" i="30880"/>
  <c r="BG7" i="30880" s="1"/>
  <c r="BH7" i="30880"/>
  <c r="BI7" i="30880" s="1"/>
  <c r="BJ7" i="30880"/>
  <c r="BK7" i="30880" s="1"/>
  <c r="BL7" i="30880"/>
  <c r="BM7" i="30880" s="1"/>
  <c r="BN7" i="30880"/>
  <c r="BO7" i="30880" s="1"/>
  <c r="BP7" i="30880"/>
  <c r="BQ7" i="30880" s="1"/>
  <c r="BR7" i="30880"/>
  <c r="BS7" i="30880" s="1"/>
  <c r="BT7" i="30880"/>
  <c r="BU7" i="30880" s="1"/>
  <c r="BV7" i="30880"/>
  <c r="BW7" i="30880" s="1"/>
  <c r="BX7" i="30880"/>
  <c r="BY7" i="30880" s="1"/>
  <c r="BZ7" i="30880"/>
  <c r="CA7" i="30880" s="1"/>
  <c r="CB7" i="30880"/>
  <c r="CC7" i="30880" s="1"/>
  <c r="CD7" i="30880"/>
  <c r="CE7" i="30880" s="1"/>
  <c r="CF7" i="30880"/>
  <c r="CG7" i="30880" s="1"/>
  <c r="CH7" i="30880"/>
  <c r="CI7" i="30880" s="1"/>
  <c r="CJ7" i="30880"/>
  <c r="CK7" i="30880" s="1"/>
  <c r="CL7" i="30880"/>
  <c r="CM7" i="30880" s="1"/>
  <c r="CN7" i="30880"/>
  <c r="CO7" i="30880" s="1"/>
  <c r="CP7" i="30880"/>
  <c r="CQ7" i="30880" s="1"/>
  <c r="CR7" i="30880"/>
  <c r="CS7" i="30880" s="1"/>
  <c r="CT7" i="30880"/>
  <c r="CU7" i="30880" s="1"/>
  <c r="CV7" i="30880"/>
  <c r="CW7" i="30880" s="1"/>
  <c r="CX7" i="30880"/>
  <c r="CY7" i="30880" s="1"/>
  <c r="CZ7" i="30880"/>
  <c r="DA7" i="30880" s="1"/>
  <c r="DB7" i="30880"/>
  <c r="DC7" i="30880" s="1"/>
  <c r="DD7" i="30880"/>
  <c r="DE7" i="30880" s="1"/>
  <c r="DF7" i="30880"/>
  <c r="DG7" i="30880" s="1"/>
  <c r="DH7" i="30880"/>
  <c r="DI7" i="30880" s="1"/>
  <c r="DJ7" i="30880"/>
  <c r="DK7" i="30880" s="1"/>
  <c r="DL7" i="30880"/>
  <c r="DM7" i="30880" s="1"/>
  <c r="DP7" i="30880"/>
  <c r="DQ7" i="30880" s="1"/>
  <c r="DR7" i="30880"/>
  <c r="DS7" i="30880" s="1"/>
  <c r="AT8" i="30880"/>
  <c r="AU8" i="30880" s="1"/>
  <c r="AV8" i="30880"/>
  <c r="AW8" i="30880" s="1"/>
  <c r="AX8" i="30880"/>
  <c r="AY8" i="30880" s="1"/>
  <c r="AZ8" i="30880"/>
  <c r="BA8" i="30880" s="1"/>
  <c r="BB8" i="30880"/>
  <c r="BC8" i="30880" s="1"/>
  <c r="BD8" i="30880"/>
  <c r="BE8" i="30880" s="1"/>
  <c r="BF8" i="30880"/>
  <c r="BG8" i="30880" s="1"/>
  <c r="BH8" i="30880"/>
  <c r="BI8" i="30880" s="1"/>
  <c r="BJ8" i="30880"/>
  <c r="BK8" i="30880" s="1"/>
  <c r="BL8" i="30880"/>
  <c r="BM8" i="30880" s="1"/>
  <c r="BN8" i="30880"/>
  <c r="BO8" i="30880" s="1"/>
  <c r="BP8" i="30880"/>
  <c r="BQ8" i="30880" s="1"/>
  <c r="BR8" i="30880"/>
  <c r="BS8" i="30880" s="1"/>
  <c r="BT8" i="30880"/>
  <c r="BU8" i="30880" s="1"/>
  <c r="BV8" i="30880"/>
  <c r="BW8" i="30880" s="1"/>
  <c r="BX8" i="30880"/>
  <c r="BY8" i="30880" s="1"/>
  <c r="BZ8" i="30880"/>
  <c r="CA8" i="30880" s="1"/>
  <c r="CB8" i="30880"/>
  <c r="CC8" i="30880" s="1"/>
  <c r="CD8" i="30880"/>
  <c r="CE8" i="30880" s="1"/>
  <c r="CF8" i="30880"/>
  <c r="CG8" i="30880" s="1"/>
  <c r="CH8" i="30880"/>
  <c r="CI8" i="30880" s="1"/>
  <c r="CJ8" i="30880"/>
  <c r="CK8" i="30880" s="1"/>
  <c r="CL8" i="30880"/>
  <c r="CM8" i="30880" s="1"/>
  <c r="CN8" i="30880"/>
  <c r="CO8" i="30880" s="1"/>
  <c r="CP8" i="30880"/>
  <c r="CQ8" i="30880" s="1"/>
  <c r="CR8" i="30880"/>
  <c r="CS8" i="30880" s="1"/>
  <c r="CT8" i="30880"/>
  <c r="CU8" i="30880" s="1"/>
  <c r="CV8" i="30880"/>
  <c r="CW8" i="30880" s="1"/>
  <c r="CX8" i="30880"/>
  <c r="CY8" i="30880" s="1"/>
  <c r="CZ8" i="30880"/>
  <c r="DA8" i="30880" s="1"/>
  <c r="DB8" i="30880"/>
  <c r="DC8" i="30880" s="1"/>
  <c r="DD8" i="30880"/>
  <c r="DE8" i="30880" s="1"/>
  <c r="DF8" i="30880"/>
  <c r="DG8" i="30880" s="1"/>
  <c r="DH8" i="30880"/>
  <c r="DI8" i="30880" s="1"/>
  <c r="DJ8" i="30880"/>
  <c r="DK8" i="30880" s="1"/>
  <c r="DL8" i="30880"/>
  <c r="DM8" i="30880" s="1"/>
  <c r="DP8" i="30880"/>
  <c r="DQ8" i="30880" s="1"/>
  <c r="DR8" i="30880"/>
  <c r="DS8" i="30880" s="1"/>
  <c r="AT9" i="30880"/>
  <c r="AU9" i="30880" s="1"/>
  <c r="AV9" i="30880"/>
  <c r="AW9" i="30880" s="1"/>
  <c r="AX9" i="30880"/>
  <c r="AY9" i="30880" s="1"/>
  <c r="AZ9" i="30880"/>
  <c r="BA9" i="30880" s="1"/>
  <c r="BB9" i="30880"/>
  <c r="BC9" i="30880" s="1"/>
  <c r="BD9" i="30880"/>
  <c r="BE9" i="30880" s="1"/>
  <c r="BF9" i="30880"/>
  <c r="BG9" i="30880" s="1"/>
  <c r="BH9" i="30880"/>
  <c r="BI9" i="30880" s="1"/>
  <c r="BJ9" i="30880"/>
  <c r="BK9" i="30880" s="1"/>
  <c r="BL9" i="30880"/>
  <c r="BM9" i="30880" s="1"/>
  <c r="BN9" i="30880"/>
  <c r="BO9" i="30880" s="1"/>
  <c r="BP9" i="30880"/>
  <c r="BQ9" i="30880" s="1"/>
  <c r="BR9" i="30880"/>
  <c r="BS9" i="30880" s="1"/>
  <c r="BT9" i="30880"/>
  <c r="BU9" i="30880" s="1"/>
  <c r="BV9" i="30880"/>
  <c r="BW9" i="30880" s="1"/>
  <c r="BX9" i="30880"/>
  <c r="BY9" i="30880" s="1"/>
  <c r="BZ9" i="30880"/>
  <c r="CA9" i="30880" s="1"/>
  <c r="CB9" i="30880"/>
  <c r="CC9" i="30880" s="1"/>
  <c r="CD9" i="30880"/>
  <c r="CE9" i="30880" s="1"/>
  <c r="CF9" i="30880"/>
  <c r="CG9" i="30880" s="1"/>
  <c r="CH9" i="30880"/>
  <c r="CI9" i="30880" s="1"/>
  <c r="CJ9" i="30880"/>
  <c r="CK9" i="30880" s="1"/>
  <c r="CL9" i="30880"/>
  <c r="CM9" i="30880" s="1"/>
  <c r="CN9" i="30880"/>
  <c r="CO9" i="30880" s="1"/>
  <c r="CP9" i="30880"/>
  <c r="CQ9" i="30880" s="1"/>
  <c r="CR9" i="30880"/>
  <c r="CS9" i="30880" s="1"/>
  <c r="CT9" i="30880"/>
  <c r="CU9" i="30880" s="1"/>
  <c r="CV9" i="30880"/>
  <c r="CW9" i="30880" s="1"/>
  <c r="CX9" i="30880"/>
  <c r="CY9" i="30880" s="1"/>
  <c r="CZ9" i="30880"/>
  <c r="DA9" i="30880" s="1"/>
  <c r="DB9" i="30880"/>
  <c r="DC9" i="30880" s="1"/>
  <c r="DD9" i="30880"/>
  <c r="DE9" i="30880" s="1"/>
  <c r="DF9" i="30880"/>
  <c r="DG9" i="30880" s="1"/>
  <c r="DH9" i="30880"/>
  <c r="DI9" i="30880" s="1"/>
  <c r="DJ9" i="30880"/>
  <c r="DK9" i="30880" s="1"/>
  <c r="DL9" i="30880"/>
  <c r="DM9" i="30880" s="1"/>
  <c r="DP9" i="30880"/>
  <c r="DQ9" i="30880" s="1"/>
  <c r="DR9" i="30880"/>
  <c r="DS9" i="30880" s="1"/>
  <c r="DU9" i="30880"/>
  <c r="AT10" i="30880"/>
  <c r="AU10" i="30880" s="1"/>
  <c r="AV10" i="30880"/>
  <c r="AW10" i="30880" s="1"/>
  <c r="AX10" i="30880"/>
  <c r="AY10" i="30880" s="1"/>
  <c r="AZ10" i="30880"/>
  <c r="BA10" i="30880" s="1"/>
  <c r="BB10" i="30880"/>
  <c r="BC10" i="30880" s="1"/>
  <c r="BD10" i="30880"/>
  <c r="BE10" i="30880" s="1"/>
  <c r="BF10" i="30880"/>
  <c r="BG10" i="30880" s="1"/>
  <c r="BH10" i="30880"/>
  <c r="BI10" i="30880" s="1"/>
  <c r="BJ10" i="30880"/>
  <c r="BK10" i="30880" s="1"/>
  <c r="BL10" i="30880"/>
  <c r="BM10" i="30880" s="1"/>
  <c r="BN10" i="30880"/>
  <c r="BO10" i="30880" s="1"/>
  <c r="BP10" i="30880"/>
  <c r="BQ10" i="30880" s="1"/>
  <c r="BR10" i="30880"/>
  <c r="BS10" i="30880" s="1"/>
  <c r="BT10" i="30880"/>
  <c r="BU10" i="30880" s="1"/>
  <c r="BV10" i="30880"/>
  <c r="BW10" i="30880" s="1"/>
  <c r="BX10" i="30880"/>
  <c r="BY10" i="30880" s="1"/>
  <c r="BZ10" i="30880"/>
  <c r="CA10" i="30880" s="1"/>
  <c r="CB10" i="30880"/>
  <c r="CC10" i="30880" s="1"/>
  <c r="CD10" i="30880"/>
  <c r="CE10" i="30880" s="1"/>
  <c r="CF10" i="30880"/>
  <c r="CG10" i="30880" s="1"/>
  <c r="CH10" i="30880"/>
  <c r="CI10" i="30880" s="1"/>
  <c r="CJ10" i="30880"/>
  <c r="CK10" i="30880" s="1"/>
  <c r="CL10" i="30880"/>
  <c r="CM10" i="30880" s="1"/>
  <c r="CN10" i="30880"/>
  <c r="CO10" i="30880" s="1"/>
  <c r="CP10" i="30880"/>
  <c r="CQ10" i="30880" s="1"/>
  <c r="CR10" i="30880"/>
  <c r="CS10" i="30880" s="1"/>
  <c r="CT10" i="30880"/>
  <c r="CU10" i="30880" s="1"/>
  <c r="CV10" i="30880"/>
  <c r="CW10" i="30880" s="1"/>
  <c r="CX10" i="30880"/>
  <c r="CY10" i="30880" s="1"/>
  <c r="CZ10" i="30880"/>
  <c r="DA10" i="30880" s="1"/>
  <c r="DB10" i="30880"/>
  <c r="DC10" i="30880" s="1"/>
  <c r="DD10" i="30880"/>
  <c r="DE10" i="30880" s="1"/>
  <c r="DF10" i="30880"/>
  <c r="DG10" i="30880" s="1"/>
  <c r="DH10" i="30880"/>
  <c r="DI10" i="30880" s="1"/>
  <c r="DJ10" i="30880"/>
  <c r="DK10" i="30880" s="1"/>
  <c r="DL10" i="30880"/>
  <c r="DM10" i="30880" s="1"/>
  <c r="DP10" i="30880"/>
  <c r="DQ10" i="30880" s="1"/>
  <c r="DR10" i="30880"/>
  <c r="DS10" i="30880" s="1"/>
  <c r="AT11" i="30880"/>
  <c r="AU11" i="30880" s="1"/>
  <c r="AV11" i="30880"/>
  <c r="AW11" i="30880" s="1"/>
  <c r="AX11" i="30880"/>
  <c r="AY11" i="30880" s="1"/>
  <c r="AZ11" i="30880"/>
  <c r="BA11" i="30880" s="1"/>
  <c r="BB11" i="30880"/>
  <c r="BC11" i="30880" s="1"/>
  <c r="BD11" i="30880"/>
  <c r="BE11" i="30880" s="1"/>
  <c r="BF11" i="30880"/>
  <c r="BG11" i="30880" s="1"/>
  <c r="BH11" i="30880"/>
  <c r="BI11" i="30880" s="1"/>
  <c r="BJ11" i="30880"/>
  <c r="BK11" i="30880" s="1"/>
  <c r="BL11" i="30880"/>
  <c r="BM11" i="30880" s="1"/>
  <c r="BN11" i="30880"/>
  <c r="BO11" i="30880" s="1"/>
  <c r="BP11" i="30880"/>
  <c r="BQ11" i="30880" s="1"/>
  <c r="BR11" i="30880"/>
  <c r="BS11" i="30880" s="1"/>
  <c r="BT11" i="30880"/>
  <c r="BU11" i="30880" s="1"/>
  <c r="BV11" i="30880"/>
  <c r="BW11" i="30880" s="1"/>
  <c r="BX11" i="30880"/>
  <c r="BY11" i="30880" s="1"/>
  <c r="BZ11" i="30880"/>
  <c r="CA11" i="30880" s="1"/>
  <c r="CB11" i="30880"/>
  <c r="CC11" i="30880" s="1"/>
  <c r="CD11" i="30880"/>
  <c r="CE11" i="30880" s="1"/>
  <c r="CF11" i="30880"/>
  <c r="CG11" i="30880" s="1"/>
  <c r="CH11" i="30880"/>
  <c r="CI11" i="30880" s="1"/>
  <c r="CJ11" i="30880"/>
  <c r="CK11" i="30880" s="1"/>
  <c r="CL11" i="30880"/>
  <c r="CM11" i="30880" s="1"/>
  <c r="CN11" i="30880"/>
  <c r="CO11" i="30880" s="1"/>
  <c r="CP11" i="30880"/>
  <c r="CQ11" i="30880" s="1"/>
  <c r="CR11" i="30880"/>
  <c r="CS11" i="30880" s="1"/>
  <c r="CT11" i="30880"/>
  <c r="CU11" i="30880" s="1"/>
  <c r="CV11" i="30880"/>
  <c r="CW11" i="30880" s="1"/>
  <c r="CX11" i="30880"/>
  <c r="CY11" i="30880" s="1"/>
  <c r="CZ11" i="30880"/>
  <c r="DA11" i="30880" s="1"/>
  <c r="DB11" i="30880"/>
  <c r="DC11" i="30880" s="1"/>
  <c r="DD11" i="30880"/>
  <c r="DE11" i="30880" s="1"/>
  <c r="DF11" i="30880"/>
  <c r="DG11" i="30880" s="1"/>
  <c r="DH11" i="30880"/>
  <c r="DI11" i="30880" s="1"/>
  <c r="DJ11" i="30880"/>
  <c r="DK11" i="30880" s="1"/>
  <c r="DL11" i="30880"/>
  <c r="DM11" i="30880" s="1"/>
  <c r="DP11" i="30880"/>
  <c r="DQ11" i="30880" s="1"/>
  <c r="DR11" i="30880"/>
  <c r="DS11" i="30880" s="1"/>
  <c r="AT12" i="30880"/>
  <c r="AU12" i="30880" s="1"/>
  <c r="AV12" i="30880"/>
  <c r="AW12" i="30880" s="1"/>
  <c r="AX12" i="30880"/>
  <c r="AY12" i="30880" s="1"/>
  <c r="AZ12" i="30880"/>
  <c r="BA12" i="30880" s="1"/>
  <c r="BB12" i="30880"/>
  <c r="BC12" i="30880" s="1"/>
  <c r="BD12" i="30880"/>
  <c r="BE12" i="30880" s="1"/>
  <c r="BF12" i="30880"/>
  <c r="BG12" i="30880" s="1"/>
  <c r="BH12" i="30880"/>
  <c r="BI12" i="30880" s="1"/>
  <c r="BJ12" i="30880"/>
  <c r="BK12" i="30880" s="1"/>
  <c r="BL12" i="30880"/>
  <c r="BM12" i="30880" s="1"/>
  <c r="BN12" i="30880"/>
  <c r="BO12" i="30880" s="1"/>
  <c r="BP12" i="30880"/>
  <c r="BQ12" i="30880" s="1"/>
  <c r="BR12" i="30880"/>
  <c r="BS12" i="30880" s="1"/>
  <c r="BT12" i="30880"/>
  <c r="BU12" i="30880" s="1"/>
  <c r="BV12" i="30880"/>
  <c r="BW12" i="30880" s="1"/>
  <c r="BX12" i="30880"/>
  <c r="BY12" i="30880" s="1"/>
  <c r="BZ12" i="30880"/>
  <c r="CA12" i="30880" s="1"/>
  <c r="CB12" i="30880"/>
  <c r="CC12" i="30880" s="1"/>
  <c r="CD12" i="30880"/>
  <c r="CE12" i="30880" s="1"/>
  <c r="CF12" i="30880"/>
  <c r="CG12" i="30880" s="1"/>
  <c r="CH12" i="30880"/>
  <c r="CI12" i="30880" s="1"/>
  <c r="CJ12" i="30880"/>
  <c r="CK12" i="30880" s="1"/>
  <c r="CL12" i="30880"/>
  <c r="CM12" i="30880" s="1"/>
  <c r="CN12" i="30880"/>
  <c r="CO12" i="30880" s="1"/>
  <c r="CP12" i="30880"/>
  <c r="CQ12" i="30880" s="1"/>
  <c r="CR12" i="30880"/>
  <c r="CS12" i="30880" s="1"/>
  <c r="CT12" i="30880"/>
  <c r="CU12" i="30880" s="1"/>
  <c r="CV12" i="30880"/>
  <c r="CW12" i="30880" s="1"/>
  <c r="CX12" i="30880"/>
  <c r="CY12" i="30880" s="1"/>
  <c r="CZ12" i="30880"/>
  <c r="DA12" i="30880" s="1"/>
  <c r="DB12" i="30880"/>
  <c r="DC12" i="30880" s="1"/>
  <c r="DD12" i="30880"/>
  <c r="DE12" i="30880" s="1"/>
  <c r="DF12" i="30880"/>
  <c r="DG12" i="30880" s="1"/>
  <c r="DH12" i="30880"/>
  <c r="DI12" i="30880" s="1"/>
  <c r="DJ12" i="30880"/>
  <c r="DK12" i="30880" s="1"/>
  <c r="DL12" i="30880"/>
  <c r="DM12" i="30880" s="1"/>
  <c r="DP12" i="30880"/>
  <c r="DQ12" i="30880" s="1"/>
  <c r="DR12" i="30880"/>
  <c r="DS12" i="30880" s="1"/>
  <c r="AT13" i="30880"/>
  <c r="AU13" i="30880" s="1"/>
  <c r="AV13" i="30880"/>
  <c r="AW13" i="30880" s="1"/>
  <c r="AX13" i="30880"/>
  <c r="AY13" i="30880" s="1"/>
  <c r="AZ13" i="30880"/>
  <c r="BA13" i="30880" s="1"/>
  <c r="BB13" i="30880"/>
  <c r="BC13" i="30880" s="1"/>
  <c r="BD13" i="30880"/>
  <c r="BE13" i="30880" s="1"/>
  <c r="BF13" i="30880"/>
  <c r="BG13" i="30880" s="1"/>
  <c r="BH13" i="30880"/>
  <c r="BI13" i="30880" s="1"/>
  <c r="BJ13" i="30880"/>
  <c r="BK13" i="30880" s="1"/>
  <c r="BL13" i="30880"/>
  <c r="BM13" i="30880" s="1"/>
  <c r="BN13" i="30880"/>
  <c r="BO13" i="30880" s="1"/>
  <c r="BP13" i="30880"/>
  <c r="BQ13" i="30880" s="1"/>
  <c r="BR13" i="30880"/>
  <c r="BS13" i="30880" s="1"/>
  <c r="BT13" i="30880"/>
  <c r="BU13" i="30880" s="1"/>
  <c r="BV13" i="30880"/>
  <c r="BW13" i="30880" s="1"/>
  <c r="BX13" i="30880"/>
  <c r="BY13" i="30880" s="1"/>
  <c r="BZ13" i="30880"/>
  <c r="CA13" i="30880" s="1"/>
  <c r="CB13" i="30880"/>
  <c r="CC13" i="30880" s="1"/>
  <c r="CD13" i="30880"/>
  <c r="CE13" i="30880" s="1"/>
  <c r="CF13" i="30880"/>
  <c r="CG13" i="30880" s="1"/>
  <c r="CH13" i="30880"/>
  <c r="CI13" i="30880" s="1"/>
  <c r="CJ13" i="30880"/>
  <c r="CK13" i="30880" s="1"/>
  <c r="CL13" i="30880"/>
  <c r="CM13" i="30880" s="1"/>
  <c r="CN13" i="30880"/>
  <c r="CO13" i="30880" s="1"/>
  <c r="CP13" i="30880"/>
  <c r="CQ13" i="30880" s="1"/>
  <c r="CR13" i="30880"/>
  <c r="CS13" i="30880" s="1"/>
  <c r="CT13" i="30880"/>
  <c r="CU13" i="30880" s="1"/>
  <c r="CV13" i="30880"/>
  <c r="CW13" i="30880" s="1"/>
  <c r="CX13" i="30880"/>
  <c r="CY13" i="30880" s="1"/>
  <c r="CZ13" i="30880"/>
  <c r="DA13" i="30880" s="1"/>
  <c r="DB13" i="30880"/>
  <c r="DC13" i="30880" s="1"/>
  <c r="DD13" i="30880"/>
  <c r="DE13" i="30880" s="1"/>
  <c r="DF13" i="30880"/>
  <c r="DG13" i="30880" s="1"/>
  <c r="DH13" i="30880"/>
  <c r="DI13" i="30880" s="1"/>
  <c r="DJ13" i="30880"/>
  <c r="DK13" i="30880" s="1"/>
  <c r="DL13" i="30880"/>
  <c r="DM13" i="30880" s="1"/>
  <c r="DP13" i="30880"/>
  <c r="DQ13" i="30880" s="1"/>
  <c r="DR13" i="30880"/>
  <c r="DS13" i="30880" s="1"/>
  <c r="AT14" i="30880"/>
  <c r="AU14" i="30880" s="1"/>
  <c r="AV14" i="30880"/>
  <c r="AW14" i="30880" s="1"/>
  <c r="AX14" i="30880"/>
  <c r="AY14" i="30880" s="1"/>
  <c r="AZ14" i="30880"/>
  <c r="BA14" i="30880" s="1"/>
  <c r="BB14" i="30880"/>
  <c r="BC14" i="30880" s="1"/>
  <c r="BD14" i="30880"/>
  <c r="BE14" i="30880" s="1"/>
  <c r="BF14" i="30880"/>
  <c r="BG14" i="30880" s="1"/>
  <c r="BH14" i="30880"/>
  <c r="BI14" i="30880" s="1"/>
  <c r="BJ14" i="30880"/>
  <c r="BK14" i="30880" s="1"/>
  <c r="BL14" i="30880"/>
  <c r="BM14" i="30880" s="1"/>
  <c r="BN14" i="30880"/>
  <c r="BO14" i="30880" s="1"/>
  <c r="BP14" i="30880"/>
  <c r="BQ14" i="30880" s="1"/>
  <c r="BR14" i="30880"/>
  <c r="BS14" i="30880" s="1"/>
  <c r="BT14" i="30880"/>
  <c r="BU14" i="30880" s="1"/>
  <c r="BV14" i="30880"/>
  <c r="BW14" i="30880" s="1"/>
  <c r="BX14" i="30880"/>
  <c r="BY14" i="30880" s="1"/>
  <c r="BZ14" i="30880"/>
  <c r="CA14" i="30880" s="1"/>
  <c r="CB14" i="30880"/>
  <c r="CC14" i="30880" s="1"/>
  <c r="CD14" i="30880"/>
  <c r="CE14" i="30880" s="1"/>
  <c r="CF14" i="30880"/>
  <c r="CG14" i="30880" s="1"/>
  <c r="CH14" i="30880"/>
  <c r="CI14" i="30880" s="1"/>
  <c r="CJ14" i="30880"/>
  <c r="CK14" i="30880" s="1"/>
  <c r="CL14" i="30880"/>
  <c r="CM14" i="30880" s="1"/>
  <c r="CN14" i="30880"/>
  <c r="CO14" i="30880" s="1"/>
  <c r="CP14" i="30880"/>
  <c r="CQ14" i="30880" s="1"/>
  <c r="CR14" i="30880"/>
  <c r="CS14" i="30880" s="1"/>
  <c r="CT14" i="30880"/>
  <c r="CU14" i="30880" s="1"/>
  <c r="CV14" i="30880"/>
  <c r="CW14" i="30880" s="1"/>
  <c r="CX14" i="30880"/>
  <c r="CY14" i="30880" s="1"/>
  <c r="CZ14" i="30880"/>
  <c r="DA14" i="30880" s="1"/>
  <c r="DB14" i="30880"/>
  <c r="DC14" i="30880" s="1"/>
  <c r="DD14" i="30880"/>
  <c r="DE14" i="30880" s="1"/>
  <c r="DF14" i="30880"/>
  <c r="DG14" i="30880" s="1"/>
  <c r="DH14" i="30880"/>
  <c r="DI14" i="30880" s="1"/>
  <c r="DJ14" i="30880"/>
  <c r="DK14" i="30880" s="1"/>
  <c r="DL14" i="30880"/>
  <c r="DM14" i="30880" s="1"/>
  <c r="DP14" i="30880"/>
  <c r="DQ14" i="30880" s="1"/>
  <c r="DR14" i="30880"/>
  <c r="DS14" i="30880" s="1"/>
  <c r="AT15" i="30880"/>
  <c r="AU15" i="30880" s="1"/>
  <c r="AV15" i="30880"/>
  <c r="AW15" i="30880" s="1"/>
  <c r="AX15" i="30880"/>
  <c r="AY15" i="30880" s="1"/>
  <c r="AZ15" i="30880"/>
  <c r="BA15" i="30880" s="1"/>
  <c r="BB15" i="30880"/>
  <c r="BC15" i="30880" s="1"/>
  <c r="BD15" i="30880"/>
  <c r="BE15" i="30880" s="1"/>
  <c r="BF15" i="30880"/>
  <c r="BG15" i="30880" s="1"/>
  <c r="BH15" i="30880"/>
  <c r="BI15" i="30880" s="1"/>
  <c r="BJ15" i="30880"/>
  <c r="BK15" i="30880" s="1"/>
  <c r="BL15" i="30880"/>
  <c r="BM15" i="30880" s="1"/>
  <c r="BN15" i="30880"/>
  <c r="BO15" i="30880" s="1"/>
  <c r="BP15" i="30880"/>
  <c r="BQ15" i="30880" s="1"/>
  <c r="BR15" i="30880"/>
  <c r="BS15" i="30880" s="1"/>
  <c r="BT15" i="30880"/>
  <c r="BU15" i="30880" s="1"/>
  <c r="BV15" i="30880"/>
  <c r="BW15" i="30880" s="1"/>
  <c r="BX15" i="30880"/>
  <c r="BY15" i="30880" s="1"/>
  <c r="BZ15" i="30880"/>
  <c r="CA15" i="30880" s="1"/>
  <c r="CB15" i="30880"/>
  <c r="CC15" i="30880" s="1"/>
  <c r="CD15" i="30880"/>
  <c r="CE15" i="30880" s="1"/>
  <c r="CF15" i="30880"/>
  <c r="CG15" i="30880" s="1"/>
  <c r="CH15" i="30880"/>
  <c r="CI15" i="30880" s="1"/>
  <c r="CJ15" i="30880"/>
  <c r="CK15" i="30880" s="1"/>
  <c r="CL15" i="30880"/>
  <c r="CM15" i="30880" s="1"/>
  <c r="CN15" i="30880"/>
  <c r="CO15" i="30880" s="1"/>
  <c r="CP15" i="30880"/>
  <c r="CQ15" i="30880" s="1"/>
  <c r="CR15" i="30880"/>
  <c r="CS15" i="30880" s="1"/>
  <c r="CT15" i="30880"/>
  <c r="CU15" i="30880" s="1"/>
  <c r="CV15" i="30880"/>
  <c r="CW15" i="30880" s="1"/>
  <c r="CX15" i="30880"/>
  <c r="CY15" i="30880" s="1"/>
  <c r="CZ15" i="30880"/>
  <c r="DA15" i="30880" s="1"/>
  <c r="DB15" i="30880"/>
  <c r="DC15" i="30880" s="1"/>
  <c r="DD15" i="30880"/>
  <c r="DE15" i="30880" s="1"/>
  <c r="DF15" i="30880"/>
  <c r="DG15" i="30880" s="1"/>
  <c r="DH15" i="30880"/>
  <c r="DI15" i="30880" s="1"/>
  <c r="DJ15" i="30880"/>
  <c r="DK15" i="30880" s="1"/>
  <c r="DL15" i="30880"/>
  <c r="DM15" i="30880" s="1"/>
  <c r="DP15" i="30880"/>
  <c r="DQ15" i="30880" s="1"/>
  <c r="DR15" i="30880"/>
  <c r="DS15" i="30880" s="1"/>
  <c r="AT16" i="30880"/>
  <c r="AU16" i="30880" s="1"/>
  <c r="AV16" i="30880"/>
  <c r="AW16" i="30880" s="1"/>
  <c r="AX16" i="30880"/>
  <c r="AY16" i="30880" s="1"/>
  <c r="AZ16" i="30880"/>
  <c r="BA16" i="30880" s="1"/>
  <c r="BB16" i="30880"/>
  <c r="BC16" i="30880" s="1"/>
  <c r="BD16" i="30880"/>
  <c r="BE16" i="30880" s="1"/>
  <c r="BF16" i="30880"/>
  <c r="BG16" i="30880" s="1"/>
  <c r="BH16" i="30880"/>
  <c r="BI16" i="30880" s="1"/>
  <c r="BJ16" i="30880"/>
  <c r="BK16" i="30880" s="1"/>
  <c r="BL16" i="30880"/>
  <c r="BM16" i="30880" s="1"/>
  <c r="BN16" i="30880"/>
  <c r="BO16" i="30880" s="1"/>
  <c r="BP16" i="30880"/>
  <c r="BQ16" i="30880" s="1"/>
  <c r="BR16" i="30880"/>
  <c r="BS16" i="30880" s="1"/>
  <c r="BT16" i="30880"/>
  <c r="BU16" i="30880" s="1"/>
  <c r="BV16" i="30880"/>
  <c r="BW16" i="30880" s="1"/>
  <c r="BX16" i="30880"/>
  <c r="BY16" i="30880" s="1"/>
  <c r="BZ16" i="30880"/>
  <c r="CA16" i="30880" s="1"/>
  <c r="CB16" i="30880"/>
  <c r="CC16" i="30880" s="1"/>
  <c r="CD16" i="30880"/>
  <c r="CE16" i="30880" s="1"/>
  <c r="CF16" i="30880"/>
  <c r="CG16" i="30880" s="1"/>
  <c r="CH16" i="30880"/>
  <c r="CI16" i="30880" s="1"/>
  <c r="CJ16" i="30880"/>
  <c r="CK16" i="30880" s="1"/>
  <c r="CL16" i="30880"/>
  <c r="CM16" i="30880" s="1"/>
  <c r="CN16" i="30880"/>
  <c r="CO16" i="30880" s="1"/>
  <c r="CP16" i="30880"/>
  <c r="CQ16" i="30880" s="1"/>
  <c r="CR16" i="30880"/>
  <c r="CS16" i="30880" s="1"/>
  <c r="CT16" i="30880"/>
  <c r="CU16" i="30880" s="1"/>
  <c r="CV16" i="30880"/>
  <c r="CW16" i="30880" s="1"/>
  <c r="CX16" i="30880"/>
  <c r="CY16" i="30880" s="1"/>
  <c r="CZ16" i="30880"/>
  <c r="DA16" i="30880" s="1"/>
  <c r="DB16" i="30880"/>
  <c r="DC16" i="30880" s="1"/>
  <c r="DD16" i="30880"/>
  <c r="DE16" i="30880" s="1"/>
  <c r="DF16" i="30880"/>
  <c r="DG16" i="30880" s="1"/>
  <c r="DH16" i="30880"/>
  <c r="DI16" i="30880" s="1"/>
  <c r="DJ16" i="30880"/>
  <c r="DK16" i="30880" s="1"/>
  <c r="DL16" i="30880"/>
  <c r="DM16" i="30880" s="1"/>
  <c r="DP16" i="30880"/>
  <c r="DQ16" i="30880" s="1"/>
  <c r="DR16" i="30880"/>
  <c r="DS16" i="30880" s="1"/>
  <c r="AT17" i="30880"/>
  <c r="AU17" i="30880" s="1"/>
  <c r="AV17" i="30880"/>
  <c r="AW17" i="30880" s="1"/>
  <c r="AX17" i="30880"/>
  <c r="AY17" i="30880" s="1"/>
  <c r="AZ17" i="30880"/>
  <c r="BA17" i="30880" s="1"/>
  <c r="BB17" i="30880"/>
  <c r="BC17" i="30880" s="1"/>
  <c r="BD17" i="30880"/>
  <c r="BE17" i="30880" s="1"/>
  <c r="BF17" i="30880"/>
  <c r="BG17" i="30880" s="1"/>
  <c r="BH17" i="30880"/>
  <c r="BI17" i="30880" s="1"/>
  <c r="BJ17" i="30880"/>
  <c r="BK17" i="30880" s="1"/>
  <c r="BL17" i="30880"/>
  <c r="BM17" i="30880" s="1"/>
  <c r="BN17" i="30880"/>
  <c r="BO17" i="30880" s="1"/>
  <c r="BP17" i="30880"/>
  <c r="BQ17" i="30880" s="1"/>
  <c r="BR17" i="30880"/>
  <c r="BS17" i="30880" s="1"/>
  <c r="BT17" i="30880"/>
  <c r="BU17" i="30880" s="1"/>
  <c r="BV17" i="30880"/>
  <c r="BW17" i="30880" s="1"/>
  <c r="BX17" i="30880"/>
  <c r="BY17" i="30880" s="1"/>
  <c r="BZ17" i="30880"/>
  <c r="CA17" i="30880" s="1"/>
  <c r="CB17" i="30880"/>
  <c r="CC17" i="30880" s="1"/>
  <c r="CD17" i="30880"/>
  <c r="CE17" i="30880" s="1"/>
  <c r="CF17" i="30880"/>
  <c r="CG17" i="30880" s="1"/>
  <c r="CH17" i="30880"/>
  <c r="CI17" i="30880" s="1"/>
  <c r="CJ17" i="30880"/>
  <c r="CK17" i="30880" s="1"/>
  <c r="CL17" i="30880"/>
  <c r="CM17" i="30880" s="1"/>
  <c r="CN17" i="30880"/>
  <c r="CO17" i="30880" s="1"/>
  <c r="CP17" i="30880"/>
  <c r="CQ17" i="30880" s="1"/>
  <c r="CR17" i="30880"/>
  <c r="CS17" i="30880" s="1"/>
  <c r="CT17" i="30880"/>
  <c r="CU17" i="30880" s="1"/>
  <c r="CV17" i="30880"/>
  <c r="CW17" i="30880" s="1"/>
  <c r="CX17" i="30880"/>
  <c r="CY17" i="30880" s="1"/>
  <c r="CZ17" i="30880"/>
  <c r="DA17" i="30880" s="1"/>
  <c r="DB17" i="30880"/>
  <c r="DC17" i="30880" s="1"/>
  <c r="DD17" i="30880"/>
  <c r="DE17" i="30880" s="1"/>
  <c r="DF17" i="30880"/>
  <c r="DG17" i="30880" s="1"/>
  <c r="DH17" i="30880"/>
  <c r="DI17" i="30880" s="1"/>
  <c r="DJ17" i="30880"/>
  <c r="DK17" i="30880" s="1"/>
  <c r="DL17" i="30880"/>
  <c r="DM17" i="30880" s="1"/>
  <c r="DP17" i="30880"/>
  <c r="DQ17" i="30880" s="1"/>
  <c r="DR17" i="30880"/>
  <c r="DS17" i="30880" s="1"/>
  <c r="DU17" i="30880"/>
  <c r="AT18" i="30880"/>
  <c r="AU18" i="30880" s="1"/>
  <c r="AV18" i="30880"/>
  <c r="AW18" i="30880" s="1"/>
  <c r="AX18" i="30880"/>
  <c r="AY18" i="30880" s="1"/>
  <c r="AZ18" i="30880"/>
  <c r="BA18" i="30880" s="1"/>
  <c r="BB18" i="30880"/>
  <c r="BC18" i="30880" s="1"/>
  <c r="BD18" i="30880"/>
  <c r="BE18" i="30880" s="1"/>
  <c r="BF18" i="30880"/>
  <c r="BG18" i="30880" s="1"/>
  <c r="BH18" i="30880"/>
  <c r="BI18" i="30880" s="1"/>
  <c r="BJ18" i="30880"/>
  <c r="BK18" i="30880" s="1"/>
  <c r="BL18" i="30880"/>
  <c r="BM18" i="30880" s="1"/>
  <c r="BN18" i="30880"/>
  <c r="BO18" i="30880" s="1"/>
  <c r="BP18" i="30880"/>
  <c r="BQ18" i="30880" s="1"/>
  <c r="BR18" i="30880"/>
  <c r="BS18" i="30880" s="1"/>
  <c r="BT18" i="30880"/>
  <c r="BU18" i="30880" s="1"/>
  <c r="BV18" i="30880"/>
  <c r="BW18" i="30880" s="1"/>
  <c r="BX18" i="30880"/>
  <c r="BY18" i="30880" s="1"/>
  <c r="BZ18" i="30880"/>
  <c r="CA18" i="30880" s="1"/>
  <c r="CB18" i="30880"/>
  <c r="CC18" i="30880" s="1"/>
  <c r="CD18" i="30880"/>
  <c r="CE18" i="30880" s="1"/>
  <c r="CF18" i="30880"/>
  <c r="CG18" i="30880" s="1"/>
  <c r="CH18" i="30880"/>
  <c r="CI18" i="30880" s="1"/>
  <c r="CJ18" i="30880"/>
  <c r="CK18" i="30880" s="1"/>
  <c r="CL18" i="30880"/>
  <c r="CM18" i="30880" s="1"/>
  <c r="CN18" i="30880"/>
  <c r="CO18" i="30880" s="1"/>
  <c r="CP18" i="30880"/>
  <c r="CQ18" i="30880" s="1"/>
  <c r="CR18" i="30880"/>
  <c r="CS18" i="30880" s="1"/>
  <c r="CT18" i="30880"/>
  <c r="CU18" i="30880" s="1"/>
  <c r="CV18" i="30880"/>
  <c r="CW18" i="30880" s="1"/>
  <c r="CX18" i="30880"/>
  <c r="CY18" i="30880" s="1"/>
  <c r="CZ18" i="30880"/>
  <c r="DA18" i="30880" s="1"/>
  <c r="DB18" i="30880"/>
  <c r="DC18" i="30880" s="1"/>
  <c r="DD18" i="30880"/>
  <c r="DE18" i="30880" s="1"/>
  <c r="DF18" i="30880"/>
  <c r="DG18" i="30880" s="1"/>
  <c r="DH18" i="30880"/>
  <c r="DI18" i="30880" s="1"/>
  <c r="DJ18" i="30880"/>
  <c r="DK18" i="30880" s="1"/>
  <c r="DL18" i="30880"/>
  <c r="DM18" i="30880" s="1"/>
  <c r="DP18" i="30880"/>
  <c r="DQ18" i="30880" s="1"/>
  <c r="DR18" i="30880"/>
  <c r="DS18" i="30880" s="1"/>
  <c r="AT19" i="30880"/>
  <c r="AU19" i="30880" s="1"/>
  <c r="AV19" i="30880"/>
  <c r="AW19" i="30880" s="1"/>
  <c r="AX19" i="30880"/>
  <c r="AY19" i="30880" s="1"/>
  <c r="AZ19" i="30880"/>
  <c r="BA19" i="30880" s="1"/>
  <c r="BB19" i="30880"/>
  <c r="BC19" i="30880" s="1"/>
  <c r="BD19" i="30880"/>
  <c r="BE19" i="30880" s="1"/>
  <c r="BF19" i="30880"/>
  <c r="BG19" i="30880" s="1"/>
  <c r="BH19" i="30880"/>
  <c r="BI19" i="30880" s="1"/>
  <c r="BJ19" i="30880"/>
  <c r="BK19" i="30880" s="1"/>
  <c r="BL19" i="30880"/>
  <c r="BM19" i="30880" s="1"/>
  <c r="BN19" i="30880"/>
  <c r="BO19" i="30880" s="1"/>
  <c r="BP19" i="30880"/>
  <c r="BQ19" i="30880" s="1"/>
  <c r="BR19" i="30880"/>
  <c r="BS19" i="30880" s="1"/>
  <c r="BT19" i="30880"/>
  <c r="BU19" i="30880" s="1"/>
  <c r="BV19" i="30880"/>
  <c r="BW19" i="30880" s="1"/>
  <c r="BX19" i="30880"/>
  <c r="BY19" i="30880" s="1"/>
  <c r="BZ19" i="30880"/>
  <c r="CA19" i="30880" s="1"/>
  <c r="CB19" i="30880"/>
  <c r="CC19" i="30880" s="1"/>
  <c r="CD19" i="30880"/>
  <c r="CE19" i="30880" s="1"/>
  <c r="CF19" i="30880"/>
  <c r="CG19" i="30880" s="1"/>
  <c r="CH19" i="30880"/>
  <c r="CI19" i="30880" s="1"/>
  <c r="CJ19" i="30880"/>
  <c r="CK19" i="30880" s="1"/>
  <c r="CL19" i="30880"/>
  <c r="CM19" i="30880" s="1"/>
  <c r="CN19" i="30880"/>
  <c r="CO19" i="30880" s="1"/>
  <c r="CP19" i="30880"/>
  <c r="CQ19" i="30880" s="1"/>
  <c r="CR19" i="30880"/>
  <c r="CS19" i="30880" s="1"/>
  <c r="CT19" i="30880"/>
  <c r="CU19" i="30880" s="1"/>
  <c r="CV19" i="30880"/>
  <c r="CW19" i="30880" s="1"/>
  <c r="CX19" i="30880"/>
  <c r="CY19" i="30880" s="1"/>
  <c r="CZ19" i="30880"/>
  <c r="DA19" i="30880" s="1"/>
  <c r="DB19" i="30880"/>
  <c r="DC19" i="30880" s="1"/>
  <c r="DD19" i="30880"/>
  <c r="DE19" i="30880" s="1"/>
  <c r="DF19" i="30880"/>
  <c r="DG19" i="30880" s="1"/>
  <c r="DH19" i="30880"/>
  <c r="DI19" i="30880" s="1"/>
  <c r="DJ19" i="30880"/>
  <c r="DK19" i="30880" s="1"/>
  <c r="DL19" i="30880"/>
  <c r="DM19" i="30880" s="1"/>
  <c r="DP19" i="30880"/>
  <c r="DQ19" i="30880" s="1"/>
  <c r="DR19" i="30880"/>
  <c r="DS19" i="30880" s="1"/>
  <c r="AT20" i="30880"/>
  <c r="AU20" i="30880" s="1"/>
  <c r="AV20" i="30880"/>
  <c r="AW20" i="30880" s="1"/>
  <c r="AX20" i="30880"/>
  <c r="AY20" i="30880" s="1"/>
  <c r="AZ20" i="30880"/>
  <c r="BA20" i="30880" s="1"/>
  <c r="BB20" i="30880"/>
  <c r="BC20" i="30880" s="1"/>
  <c r="BD20" i="30880"/>
  <c r="BE20" i="30880" s="1"/>
  <c r="BF20" i="30880"/>
  <c r="BG20" i="30880" s="1"/>
  <c r="BH20" i="30880"/>
  <c r="BI20" i="30880" s="1"/>
  <c r="BJ20" i="30880"/>
  <c r="BK20" i="30880" s="1"/>
  <c r="BL20" i="30880"/>
  <c r="BM20" i="30880" s="1"/>
  <c r="BN20" i="30880"/>
  <c r="BO20" i="30880" s="1"/>
  <c r="BP20" i="30880"/>
  <c r="BQ20" i="30880" s="1"/>
  <c r="BR20" i="30880"/>
  <c r="BS20" i="30880" s="1"/>
  <c r="BT20" i="30880"/>
  <c r="BU20" i="30880" s="1"/>
  <c r="BV20" i="30880"/>
  <c r="BW20" i="30880" s="1"/>
  <c r="BX20" i="30880"/>
  <c r="BY20" i="30880" s="1"/>
  <c r="BZ20" i="30880"/>
  <c r="CA20" i="30880" s="1"/>
  <c r="CB20" i="30880"/>
  <c r="CC20" i="30880" s="1"/>
  <c r="CD20" i="30880"/>
  <c r="CE20" i="30880" s="1"/>
  <c r="CF20" i="30880"/>
  <c r="CG20" i="30880" s="1"/>
  <c r="CH20" i="30880"/>
  <c r="CI20" i="30880" s="1"/>
  <c r="CJ20" i="30880"/>
  <c r="CK20" i="30880" s="1"/>
  <c r="CL20" i="30880"/>
  <c r="CM20" i="30880" s="1"/>
  <c r="CN20" i="30880"/>
  <c r="CO20" i="30880" s="1"/>
  <c r="CP20" i="30880"/>
  <c r="CQ20" i="30880" s="1"/>
  <c r="CR20" i="30880"/>
  <c r="CS20" i="30880" s="1"/>
  <c r="CT20" i="30880"/>
  <c r="CU20" i="30880" s="1"/>
  <c r="CV20" i="30880"/>
  <c r="CW20" i="30880" s="1"/>
  <c r="CX20" i="30880"/>
  <c r="CY20" i="30880" s="1"/>
  <c r="CZ20" i="30880"/>
  <c r="DA20" i="30880" s="1"/>
  <c r="DB20" i="30880"/>
  <c r="DC20" i="30880" s="1"/>
  <c r="DD20" i="30880"/>
  <c r="DE20" i="30880" s="1"/>
  <c r="DF20" i="30880"/>
  <c r="DG20" i="30880" s="1"/>
  <c r="DH20" i="30880"/>
  <c r="DI20" i="30880" s="1"/>
  <c r="DJ20" i="30880"/>
  <c r="DK20" i="30880" s="1"/>
  <c r="DL20" i="30880"/>
  <c r="DM20" i="30880" s="1"/>
  <c r="DP20" i="30880"/>
  <c r="DQ20" i="30880" s="1"/>
  <c r="DR20" i="30880"/>
  <c r="DS20" i="30880" s="1"/>
  <c r="AT21" i="30880"/>
  <c r="AU21" i="30880" s="1"/>
  <c r="AV21" i="30880"/>
  <c r="AW21" i="30880" s="1"/>
  <c r="AX21" i="30880"/>
  <c r="AY21" i="30880" s="1"/>
  <c r="AZ21" i="30880"/>
  <c r="BA21" i="30880" s="1"/>
  <c r="BB21" i="30880"/>
  <c r="BC21" i="30880" s="1"/>
  <c r="BD21" i="30880"/>
  <c r="BE21" i="30880" s="1"/>
  <c r="BF21" i="30880"/>
  <c r="BG21" i="30880" s="1"/>
  <c r="BH21" i="30880"/>
  <c r="BI21" i="30880" s="1"/>
  <c r="BJ21" i="30880"/>
  <c r="BK21" i="30880" s="1"/>
  <c r="BL21" i="30880"/>
  <c r="BM21" i="30880" s="1"/>
  <c r="BN21" i="30880"/>
  <c r="BO21" i="30880" s="1"/>
  <c r="BP21" i="30880"/>
  <c r="BQ21" i="30880" s="1"/>
  <c r="BR21" i="30880"/>
  <c r="BS21" i="30880" s="1"/>
  <c r="BT21" i="30880"/>
  <c r="BU21" i="30880" s="1"/>
  <c r="BV21" i="30880"/>
  <c r="BW21" i="30880" s="1"/>
  <c r="BX21" i="30880"/>
  <c r="BY21" i="30880" s="1"/>
  <c r="BZ21" i="30880"/>
  <c r="CA21" i="30880" s="1"/>
  <c r="CB21" i="30880"/>
  <c r="CC21" i="30880" s="1"/>
  <c r="CD21" i="30880"/>
  <c r="CE21" i="30880" s="1"/>
  <c r="CF21" i="30880"/>
  <c r="CG21" i="30880" s="1"/>
  <c r="CH21" i="30880"/>
  <c r="CI21" i="30880" s="1"/>
  <c r="CJ21" i="30880"/>
  <c r="CK21" i="30880" s="1"/>
  <c r="CL21" i="30880"/>
  <c r="CM21" i="30880" s="1"/>
  <c r="CN21" i="30880"/>
  <c r="CO21" i="30880" s="1"/>
  <c r="CP21" i="30880"/>
  <c r="CQ21" i="30880" s="1"/>
  <c r="CR21" i="30880"/>
  <c r="CS21" i="30880" s="1"/>
  <c r="CT21" i="30880"/>
  <c r="CU21" i="30880" s="1"/>
  <c r="CV21" i="30880"/>
  <c r="CW21" i="30880" s="1"/>
  <c r="CX21" i="30880"/>
  <c r="CY21" i="30880" s="1"/>
  <c r="CZ21" i="30880"/>
  <c r="DA21" i="30880" s="1"/>
  <c r="DB21" i="30880"/>
  <c r="DC21" i="30880" s="1"/>
  <c r="DD21" i="30880"/>
  <c r="DE21" i="30880" s="1"/>
  <c r="DF21" i="30880"/>
  <c r="DG21" i="30880" s="1"/>
  <c r="DH21" i="30880"/>
  <c r="DI21" i="30880" s="1"/>
  <c r="DJ21" i="30880"/>
  <c r="DK21" i="30880" s="1"/>
  <c r="DL21" i="30880"/>
  <c r="DM21" i="30880" s="1"/>
  <c r="DP21" i="30880"/>
  <c r="DQ21" i="30880" s="1"/>
  <c r="DR21" i="30880"/>
  <c r="DS21" i="30880" s="1"/>
  <c r="AT22" i="30880"/>
  <c r="AU22" i="30880" s="1"/>
  <c r="AV22" i="30880"/>
  <c r="AW22" i="30880" s="1"/>
  <c r="AX22" i="30880"/>
  <c r="AY22" i="30880" s="1"/>
  <c r="AZ22" i="30880"/>
  <c r="BA22" i="30880" s="1"/>
  <c r="BB22" i="30880"/>
  <c r="BC22" i="30880" s="1"/>
  <c r="BD22" i="30880"/>
  <c r="BE22" i="30880" s="1"/>
  <c r="BF22" i="30880"/>
  <c r="BG22" i="30880" s="1"/>
  <c r="BH22" i="30880"/>
  <c r="BI22" i="30880" s="1"/>
  <c r="BJ22" i="30880"/>
  <c r="BK22" i="30880" s="1"/>
  <c r="BL22" i="30880"/>
  <c r="BM22" i="30880" s="1"/>
  <c r="BN22" i="30880"/>
  <c r="BO22" i="30880" s="1"/>
  <c r="BP22" i="30880"/>
  <c r="BQ22" i="30880" s="1"/>
  <c r="BR22" i="30880"/>
  <c r="BS22" i="30880" s="1"/>
  <c r="BT22" i="30880"/>
  <c r="BU22" i="30880" s="1"/>
  <c r="BV22" i="30880"/>
  <c r="BW22" i="30880" s="1"/>
  <c r="BX22" i="30880"/>
  <c r="BY22" i="30880" s="1"/>
  <c r="BZ22" i="30880"/>
  <c r="CA22" i="30880" s="1"/>
  <c r="CB22" i="30880"/>
  <c r="CC22" i="30880" s="1"/>
  <c r="CD22" i="30880"/>
  <c r="CE22" i="30880" s="1"/>
  <c r="CF22" i="30880"/>
  <c r="CG22" i="30880" s="1"/>
  <c r="CH22" i="30880"/>
  <c r="CI22" i="30880" s="1"/>
  <c r="CJ22" i="30880"/>
  <c r="CK22" i="30880" s="1"/>
  <c r="CL22" i="30880"/>
  <c r="CM22" i="30880" s="1"/>
  <c r="CN22" i="30880"/>
  <c r="CO22" i="30880" s="1"/>
  <c r="CP22" i="30880"/>
  <c r="CQ22" i="30880" s="1"/>
  <c r="CR22" i="30880"/>
  <c r="CS22" i="30880" s="1"/>
  <c r="CT22" i="30880"/>
  <c r="CU22" i="30880" s="1"/>
  <c r="CV22" i="30880"/>
  <c r="CW22" i="30880" s="1"/>
  <c r="CX22" i="30880"/>
  <c r="CY22" i="30880" s="1"/>
  <c r="CZ22" i="30880"/>
  <c r="DA22" i="30880" s="1"/>
  <c r="DB22" i="30880"/>
  <c r="DC22" i="30880" s="1"/>
  <c r="DD22" i="30880"/>
  <c r="DE22" i="30880" s="1"/>
  <c r="DF22" i="30880"/>
  <c r="DG22" i="30880" s="1"/>
  <c r="DH22" i="30880"/>
  <c r="DI22" i="30880" s="1"/>
  <c r="DJ22" i="30880"/>
  <c r="DK22" i="30880" s="1"/>
  <c r="DL22" i="30880"/>
  <c r="DM22" i="30880" s="1"/>
  <c r="DP22" i="30880"/>
  <c r="DQ22" i="30880" s="1"/>
  <c r="DR22" i="30880"/>
  <c r="DS22" i="30880" s="1"/>
  <c r="AT23" i="30880"/>
  <c r="AU23" i="30880" s="1"/>
  <c r="AV23" i="30880"/>
  <c r="AW23" i="30880" s="1"/>
  <c r="AX23" i="30880"/>
  <c r="AY23" i="30880" s="1"/>
  <c r="AZ23" i="30880"/>
  <c r="BA23" i="30880" s="1"/>
  <c r="BB23" i="30880"/>
  <c r="BC23" i="30880" s="1"/>
  <c r="BD23" i="30880"/>
  <c r="BE23" i="30880" s="1"/>
  <c r="BF23" i="30880"/>
  <c r="BG23" i="30880" s="1"/>
  <c r="BH23" i="30880"/>
  <c r="BI23" i="30880" s="1"/>
  <c r="BJ23" i="30880"/>
  <c r="BK23" i="30880" s="1"/>
  <c r="BL23" i="30880"/>
  <c r="BM23" i="30880" s="1"/>
  <c r="BN23" i="30880"/>
  <c r="BO23" i="30880" s="1"/>
  <c r="BP23" i="30880"/>
  <c r="BQ23" i="30880" s="1"/>
  <c r="BR23" i="30880"/>
  <c r="BS23" i="30880" s="1"/>
  <c r="BT23" i="30880"/>
  <c r="BU23" i="30880" s="1"/>
  <c r="BV23" i="30880"/>
  <c r="BW23" i="30880" s="1"/>
  <c r="BX23" i="30880"/>
  <c r="BY23" i="30880" s="1"/>
  <c r="BZ23" i="30880"/>
  <c r="CA23" i="30880" s="1"/>
  <c r="CB23" i="30880"/>
  <c r="CC23" i="30880" s="1"/>
  <c r="CD23" i="30880"/>
  <c r="CE23" i="30880" s="1"/>
  <c r="CF23" i="30880"/>
  <c r="CG23" i="30880" s="1"/>
  <c r="CH23" i="30880"/>
  <c r="CI23" i="30880" s="1"/>
  <c r="CJ23" i="30880"/>
  <c r="CK23" i="30880" s="1"/>
  <c r="CL23" i="30880"/>
  <c r="CM23" i="30880" s="1"/>
  <c r="CN23" i="30880"/>
  <c r="CO23" i="30880" s="1"/>
  <c r="CP23" i="30880"/>
  <c r="CQ23" i="30880" s="1"/>
  <c r="CR23" i="30880"/>
  <c r="CS23" i="30880" s="1"/>
  <c r="CT23" i="30880"/>
  <c r="CU23" i="30880" s="1"/>
  <c r="CV23" i="30880"/>
  <c r="CW23" i="30880" s="1"/>
  <c r="CX23" i="30880"/>
  <c r="CY23" i="30880" s="1"/>
  <c r="CZ23" i="30880"/>
  <c r="DA23" i="30880" s="1"/>
  <c r="DB23" i="30880"/>
  <c r="DC23" i="30880" s="1"/>
  <c r="DD23" i="30880"/>
  <c r="DE23" i="30880" s="1"/>
  <c r="DF23" i="30880"/>
  <c r="DG23" i="30880" s="1"/>
  <c r="DH23" i="30880"/>
  <c r="DI23" i="30880" s="1"/>
  <c r="DJ23" i="30880"/>
  <c r="DK23" i="30880" s="1"/>
  <c r="DL23" i="30880"/>
  <c r="DM23" i="30880" s="1"/>
  <c r="DP23" i="30880"/>
  <c r="DQ23" i="30880" s="1"/>
  <c r="DR23" i="30880"/>
  <c r="DS23" i="30880" s="1"/>
  <c r="AT24" i="30880"/>
  <c r="AU24" i="30880" s="1"/>
  <c r="AV24" i="30880"/>
  <c r="AW24" i="30880" s="1"/>
  <c r="AX24" i="30880"/>
  <c r="AY24" i="30880" s="1"/>
  <c r="AZ24" i="30880"/>
  <c r="BA24" i="30880" s="1"/>
  <c r="BB24" i="30880"/>
  <c r="BC24" i="30880" s="1"/>
  <c r="BD24" i="30880"/>
  <c r="BE24" i="30880" s="1"/>
  <c r="BF24" i="30880"/>
  <c r="BG24" i="30880" s="1"/>
  <c r="BH24" i="30880"/>
  <c r="BI24" i="30880" s="1"/>
  <c r="BJ24" i="30880"/>
  <c r="BK24" i="30880" s="1"/>
  <c r="BL24" i="30880"/>
  <c r="BM24" i="30880" s="1"/>
  <c r="BN24" i="30880"/>
  <c r="BO24" i="30880" s="1"/>
  <c r="BP24" i="30880"/>
  <c r="BQ24" i="30880" s="1"/>
  <c r="BR24" i="30880"/>
  <c r="BS24" i="30880" s="1"/>
  <c r="BT24" i="30880"/>
  <c r="BU24" i="30880" s="1"/>
  <c r="BV24" i="30880"/>
  <c r="BW24" i="30880" s="1"/>
  <c r="BX24" i="30880"/>
  <c r="BY24" i="30880" s="1"/>
  <c r="BZ24" i="30880"/>
  <c r="CA24" i="30880" s="1"/>
  <c r="CB24" i="30880"/>
  <c r="CC24" i="30880" s="1"/>
  <c r="CD24" i="30880"/>
  <c r="CE24" i="30880" s="1"/>
  <c r="CF24" i="30880"/>
  <c r="CG24" i="30880" s="1"/>
  <c r="CH24" i="30880"/>
  <c r="CI24" i="30880" s="1"/>
  <c r="CJ24" i="30880"/>
  <c r="CK24" i="30880" s="1"/>
  <c r="CL24" i="30880"/>
  <c r="CM24" i="30880" s="1"/>
  <c r="CN24" i="30880"/>
  <c r="CO24" i="30880" s="1"/>
  <c r="CP24" i="30880"/>
  <c r="CQ24" i="30880" s="1"/>
  <c r="CR24" i="30880"/>
  <c r="CS24" i="30880" s="1"/>
  <c r="CT24" i="30880"/>
  <c r="CU24" i="30880" s="1"/>
  <c r="CV24" i="30880"/>
  <c r="CW24" i="30880" s="1"/>
  <c r="CX24" i="30880"/>
  <c r="CY24" i="30880" s="1"/>
  <c r="CZ24" i="30880"/>
  <c r="DA24" i="30880" s="1"/>
  <c r="DB24" i="30880"/>
  <c r="DC24" i="30880" s="1"/>
  <c r="DD24" i="30880"/>
  <c r="DE24" i="30880" s="1"/>
  <c r="DF24" i="30880"/>
  <c r="DG24" i="30880" s="1"/>
  <c r="DH24" i="30880"/>
  <c r="DI24" i="30880" s="1"/>
  <c r="DJ24" i="30880"/>
  <c r="DK24" i="30880" s="1"/>
  <c r="DL24" i="30880"/>
  <c r="DM24" i="30880" s="1"/>
  <c r="DP24" i="30880"/>
  <c r="DQ24" i="30880" s="1"/>
  <c r="DR24" i="30880"/>
  <c r="DS24" i="30880" s="1"/>
  <c r="AT25" i="30880"/>
  <c r="AU25" i="30880" s="1"/>
  <c r="AV25" i="30880"/>
  <c r="AW25" i="30880" s="1"/>
  <c r="AX25" i="30880"/>
  <c r="AY25" i="30880" s="1"/>
  <c r="AZ25" i="30880"/>
  <c r="BA25" i="30880" s="1"/>
  <c r="BB25" i="30880"/>
  <c r="BC25" i="30880" s="1"/>
  <c r="BD25" i="30880"/>
  <c r="BE25" i="30880" s="1"/>
  <c r="BF25" i="30880"/>
  <c r="BG25" i="30880" s="1"/>
  <c r="BH25" i="30880"/>
  <c r="BI25" i="30880" s="1"/>
  <c r="BJ25" i="30880"/>
  <c r="BK25" i="30880" s="1"/>
  <c r="BL25" i="30880"/>
  <c r="BM25" i="30880" s="1"/>
  <c r="BN25" i="30880"/>
  <c r="BO25" i="30880" s="1"/>
  <c r="BP25" i="30880"/>
  <c r="BQ25" i="30880" s="1"/>
  <c r="BR25" i="30880"/>
  <c r="BS25" i="30880" s="1"/>
  <c r="BT25" i="30880"/>
  <c r="BU25" i="30880" s="1"/>
  <c r="BV25" i="30880"/>
  <c r="BW25" i="30880" s="1"/>
  <c r="BX25" i="30880"/>
  <c r="BY25" i="30880" s="1"/>
  <c r="BZ25" i="30880"/>
  <c r="CA25" i="30880" s="1"/>
  <c r="CB25" i="30880"/>
  <c r="CC25" i="30880" s="1"/>
  <c r="CD25" i="30880"/>
  <c r="CE25" i="30880" s="1"/>
  <c r="CF25" i="30880"/>
  <c r="CG25" i="30880" s="1"/>
  <c r="CH25" i="30880"/>
  <c r="CI25" i="30880" s="1"/>
  <c r="CJ25" i="30880"/>
  <c r="CK25" i="30880" s="1"/>
  <c r="CL25" i="30880"/>
  <c r="CM25" i="30880" s="1"/>
  <c r="CN25" i="30880"/>
  <c r="CO25" i="30880" s="1"/>
  <c r="CP25" i="30880"/>
  <c r="CQ25" i="30880" s="1"/>
  <c r="CR25" i="30880"/>
  <c r="CS25" i="30880" s="1"/>
  <c r="CT25" i="30880"/>
  <c r="CU25" i="30880" s="1"/>
  <c r="CV25" i="30880"/>
  <c r="CW25" i="30880" s="1"/>
  <c r="CX25" i="30880"/>
  <c r="CY25" i="30880" s="1"/>
  <c r="CZ25" i="30880"/>
  <c r="DA25" i="30880" s="1"/>
  <c r="DB25" i="30880"/>
  <c r="DC25" i="30880" s="1"/>
  <c r="DD25" i="30880"/>
  <c r="DE25" i="30880" s="1"/>
  <c r="DF25" i="30880"/>
  <c r="DG25" i="30880" s="1"/>
  <c r="DH25" i="30880"/>
  <c r="DI25" i="30880" s="1"/>
  <c r="DJ25" i="30880"/>
  <c r="DK25" i="30880" s="1"/>
  <c r="DL25" i="30880"/>
  <c r="DM25" i="30880" s="1"/>
  <c r="DP25" i="30880"/>
  <c r="DQ25" i="30880" s="1"/>
  <c r="DR25" i="30880"/>
  <c r="DS25" i="30880" s="1"/>
  <c r="AT26" i="30880"/>
  <c r="AU26" i="30880" s="1"/>
  <c r="AV26" i="30880"/>
  <c r="AW26" i="30880" s="1"/>
  <c r="AX26" i="30880"/>
  <c r="AY26" i="30880" s="1"/>
  <c r="AZ26" i="30880"/>
  <c r="BA26" i="30880" s="1"/>
  <c r="BB26" i="30880"/>
  <c r="BC26" i="30880" s="1"/>
  <c r="BD26" i="30880"/>
  <c r="BE26" i="30880" s="1"/>
  <c r="BF26" i="30880"/>
  <c r="BG26" i="30880" s="1"/>
  <c r="BH26" i="30880"/>
  <c r="BI26" i="30880" s="1"/>
  <c r="BJ26" i="30880"/>
  <c r="BK26" i="30880" s="1"/>
  <c r="BL26" i="30880"/>
  <c r="BM26" i="30880" s="1"/>
  <c r="BN26" i="30880"/>
  <c r="BO26" i="30880" s="1"/>
  <c r="BP26" i="30880"/>
  <c r="BQ26" i="30880" s="1"/>
  <c r="BR26" i="30880"/>
  <c r="BS26" i="30880" s="1"/>
  <c r="BT26" i="30880"/>
  <c r="BU26" i="30880" s="1"/>
  <c r="BV26" i="30880"/>
  <c r="BW26" i="30880" s="1"/>
  <c r="BX26" i="30880"/>
  <c r="BY26" i="30880" s="1"/>
  <c r="BZ26" i="30880"/>
  <c r="CA26" i="30880" s="1"/>
  <c r="CB26" i="30880"/>
  <c r="CC26" i="30880" s="1"/>
  <c r="CD26" i="30880"/>
  <c r="CE26" i="30880" s="1"/>
  <c r="CF26" i="30880"/>
  <c r="CG26" i="30880" s="1"/>
  <c r="CH26" i="30880"/>
  <c r="CI26" i="30880" s="1"/>
  <c r="CJ26" i="30880"/>
  <c r="CK26" i="30880" s="1"/>
  <c r="CL26" i="30880"/>
  <c r="CM26" i="30880" s="1"/>
  <c r="CN26" i="30880"/>
  <c r="CO26" i="30880" s="1"/>
  <c r="CP26" i="30880"/>
  <c r="CQ26" i="30880" s="1"/>
  <c r="CR26" i="30880"/>
  <c r="CS26" i="30880" s="1"/>
  <c r="CT26" i="30880"/>
  <c r="CU26" i="30880" s="1"/>
  <c r="CV26" i="30880"/>
  <c r="CW26" i="30880" s="1"/>
  <c r="CX26" i="30880"/>
  <c r="CY26" i="30880" s="1"/>
  <c r="CZ26" i="30880"/>
  <c r="DA26" i="30880" s="1"/>
  <c r="DB26" i="30880"/>
  <c r="DC26" i="30880" s="1"/>
  <c r="DD26" i="30880"/>
  <c r="DE26" i="30880" s="1"/>
  <c r="DF26" i="30880"/>
  <c r="DG26" i="30880" s="1"/>
  <c r="DH26" i="30880"/>
  <c r="DI26" i="30880" s="1"/>
  <c r="DJ26" i="30880"/>
  <c r="DK26" i="30880" s="1"/>
  <c r="DL26" i="30880"/>
  <c r="DM26" i="30880" s="1"/>
  <c r="DP26" i="30880"/>
  <c r="DQ26" i="30880" s="1"/>
  <c r="DR26" i="30880"/>
  <c r="DS26" i="30880" s="1"/>
  <c r="AT27" i="30880"/>
  <c r="AU27" i="30880" s="1"/>
  <c r="AV27" i="30880"/>
  <c r="AW27" i="30880" s="1"/>
  <c r="AX27" i="30880"/>
  <c r="AY27" i="30880" s="1"/>
  <c r="AZ27" i="30880"/>
  <c r="BA27" i="30880" s="1"/>
  <c r="BB27" i="30880"/>
  <c r="BC27" i="30880" s="1"/>
  <c r="BD27" i="30880"/>
  <c r="BE27" i="30880" s="1"/>
  <c r="BF27" i="30880"/>
  <c r="BG27" i="30880" s="1"/>
  <c r="BH27" i="30880"/>
  <c r="BI27" i="30880" s="1"/>
  <c r="BJ27" i="30880"/>
  <c r="BK27" i="30880" s="1"/>
  <c r="BL27" i="30880"/>
  <c r="BM27" i="30880" s="1"/>
  <c r="BN27" i="30880"/>
  <c r="BO27" i="30880" s="1"/>
  <c r="BP27" i="30880"/>
  <c r="BQ27" i="30880" s="1"/>
  <c r="BR27" i="30880"/>
  <c r="BS27" i="30880" s="1"/>
  <c r="BT27" i="30880"/>
  <c r="BU27" i="30880" s="1"/>
  <c r="BV27" i="30880"/>
  <c r="BW27" i="30880" s="1"/>
  <c r="BX27" i="30880"/>
  <c r="BY27" i="30880" s="1"/>
  <c r="BZ27" i="30880"/>
  <c r="CA27" i="30880" s="1"/>
  <c r="CB27" i="30880"/>
  <c r="CC27" i="30880" s="1"/>
  <c r="CD27" i="30880"/>
  <c r="CE27" i="30880" s="1"/>
  <c r="CF27" i="30880"/>
  <c r="CG27" i="30880" s="1"/>
  <c r="CH27" i="30880"/>
  <c r="CI27" i="30880" s="1"/>
  <c r="CJ27" i="30880"/>
  <c r="CK27" i="30880" s="1"/>
  <c r="CL27" i="30880"/>
  <c r="CM27" i="30880" s="1"/>
  <c r="CN27" i="30880"/>
  <c r="CO27" i="30880" s="1"/>
  <c r="CP27" i="30880"/>
  <c r="CQ27" i="30880" s="1"/>
  <c r="CR27" i="30880"/>
  <c r="CS27" i="30880" s="1"/>
  <c r="CT27" i="30880"/>
  <c r="CU27" i="30880" s="1"/>
  <c r="CV27" i="30880"/>
  <c r="CW27" i="30880" s="1"/>
  <c r="CX27" i="30880"/>
  <c r="CY27" i="30880" s="1"/>
  <c r="CZ27" i="30880"/>
  <c r="DA27" i="30880" s="1"/>
  <c r="DB27" i="30880"/>
  <c r="DC27" i="30880" s="1"/>
  <c r="DD27" i="30880"/>
  <c r="DE27" i="30880" s="1"/>
  <c r="DF27" i="30880"/>
  <c r="DG27" i="30880" s="1"/>
  <c r="DH27" i="30880"/>
  <c r="DI27" i="30880" s="1"/>
  <c r="DJ27" i="30880"/>
  <c r="DK27" i="30880" s="1"/>
  <c r="DL27" i="30880"/>
  <c r="DM27" i="30880" s="1"/>
  <c r="DP27" i="30880"/>
  <c r="DQ27" i="30880" s="1"/>
  <c r="DR27" i="30880"/>
  <c r="DS27" i="30880" s="1"/>
  <c r="AT28" i="30880"/>
  <c r="AU28" i="30880" s="1"/>
  <c r="AV28" i="30880"/>
  <c r="AW28" i="30880" s="1"/>
  <c r="AX28" i="30880"/>
  <c r="AY28" i="30880" s="1"/>
  <c r="AZ28" i="30880"/>
  <c r="BA28" i="30880" s="1"/>
  <c r="BB28" i="30880"/>
  <c r="BC28" i="30880" s="1"/>
  <c r="BD28" i="30880"/>
  <c r="BE28" i="30880" s="1"/>
  <c r="BF28" i="30880"/>
  <c r="BG28" i="30880" s="1"/>
  <c r="BH28" i="30880"/>
  <c r="BI28" i="30880" s="1"/>
  <c r="BJ28" i="30880"/>
  <c r="BK28" i="30880" s="1"/>
  <c r="BL28" i="30880"/>
  <c r="BM28" i="30880" s="1"/>
  <c r="BN28" i="30880"/>
  <c r="BO28" i="30880" s="1"/>
  <c r="BP28" i="30880"/>
  <c r="BQ28" i="30880" s="1"/>
  <c r="BR28" i="30880"/>
  <c r="BS28" i="30880" s="1"/>
  <c r="BT28" i="30880"/>
  <c r="BU28" i="30880" s="1"/>
  <c r="BV28" i="30880"/>
  <c r="BW28" i="30880" s="1"/>
  <c r="BX28" i="30880"/>
  <c r="BY28" i="30880" s="1"/>
  <c r="BZ28" i="30880"/>
  <c r="CA28" i="30880" s="1"/>
  <c r="CB28" i="30880"/>
  <c r="CC28" i="30880" s="1"/>
  <c r="CD28" i="30880"/>
  <c r="CE28" i="30880" s="1"/>
  <c r="CF28" i="30880"/>
  <c r="CG28" i="30880" s="1"/>
  <c r="CH28" i="30880"/>
  <c r="CI28" i="30880" s="1"/>
  <c r="CJ28" i="30880"/>
  <c r="CK28" i="30880" s="1"/>
  <c r="CL28" i="30880"/>
  <c r="CM28" i="30880" s="1"/>
  <c r="CN28" i="30880"/>
  <c r="CO28" i="30880" s="1"/>
  <c r="CP28" i="30880"/>
  <c r="CQ28" i="30880" s="1"/>
  <c r="CR28" i="30880"/>
  <c r="CS28" i="30880" s="1"/>
  <c r="CT28" i="30880"/>
  <c r="CU28" i="30880" s="1"/>
  <c r="CV28" i="30880"/>
  <c r="CW28" i="30880" s="1"/>
  <c r="CX28" i="30880"/>
  <c r="CY28" i="30880" s="1"/>
  <c r="CZ28" i="30880"/>
  <c r="DA28" i="30880" s="1"/>
  <c r="DB28" i="30880"/>
  <c r="DC28" i="30880" s="1"/>
  <c r="DD28" i="30880"/>
  <c r="DE28" i="30880" s="1"/>
  <c r="DF28" i="30880"/>
  <c r="DG28" i="30880" s="1"/>
  <c r="DH28" i="30880"/>
  <c r="DI28" i="30880" s="1"/>
  <c r="DJ28" i="30880"/>
  <c r="DK28" i="30880" s="1"/>
  <c r="DL28" i="30880"/>
  <c r="DM28" i="30880" s="1"/>
  <c r="DP28" i="30880"/>
  <c r="DQ28" i="30880" s="1"/>
  <c r="DR28" i="30880"/>
  <c r="DS28" i="30880" s="1"/>
  <c r="AT29" i="30880"/>
  <c r="AU29" i="30880" s="1"/>
  <c r="AV29" i="30880"/>
  <c r="AW29" i="30880" s="1"/>
  <c r="AX29" i="30880"/>
  <c r="AY29" i="30880" s="1"/>
  <c r="AZ29" i="30880"/>
  <c r="BA29" i="30880" s="1"/>
  <c r="BB29" i="30880"/>
  <c r="BC29" i="30880" s="1"/>
  <c r="BD29" i="30880"/>
  <c r="BE29" i="30880" s="1"/>
  <c r="BF29" i="30880"/>
  <c r="BG29" i="30880" s="1"/>
  <c r="BH29" i="30880"/>
  <c r="BI29" i="30880" s="1"/>
  <c r="BJ29" i="30880"/>
  <c r="BK29" i="30880" s="1"/>
  <c r="BL29" i="30880"/>
  <c r="BM29" i="30880" s="1"/>
  <c r="BN29" i="30880"/>
  <c r="BO29" i="30880" s="1"/>
  <c r="BP29" i="30880"/>
  <c r="BQ29" i="30880" s="1"/>
  <c r="BR29" i="30880"/>
  <c r="BS29" i="30880" s="1"/>
  <c r="BT29" i="30880"/>
  <c r="BU29" i="30880" s="1"/>
  <c r="BV29" i="30880"/>
  <c r="BW29" i="30880" s="1"/>
  <c r="BX29" i="30880"/>
  <c r="BY29" i="30880" s="1"/>
  <c r="BZ29" i="30880"/>
  <c r="CA29" i="30880" s="1"/>
  <c r="CB29" i="30880"/>
  <c r="CC29" i="30880" s="1"/>
  <c r="CD29" i="30880"/>
  <c r="CE29" i="30880" s="1"/>
  <c r="CF29" i="30880"/>
  <c r="CG29" i="30880" s="1"/>
  <c r="CH29" i="30880"/>
  <c r="CI29" i="30880" s="1"/>
  <c r="CJ29" i="30880"/>
  <c r="CK29" i="30880" s="1"/>
  <c r="CL29" i="30880"/>
  <c r="CM29" i="30880" s="1"/>
  <c r="CN29" i="30880"/>
  <c r="CO29" i="30880" s="1"/>
  <c r="CP29" i="30880"/>
  <c r="CQ29" i="30880" s="1"/>
  <c r="CR29" i="30880"/>
  <c r="CS29" i="30880" s="1"/>
  <c r="CT29" i="30880"/>
  <c r="CU29" i="30880" s="1"/>
  <c r="CV29" i="30880"/>
  <c r="CW29" i="30880" s="1"/>
  <c r="CX29" i="30880"/>
  <c r="CY29" i="30880" s="1"/>
  <c r="CZ29" i="30880"/>
  <c r="DA29" i="30880" s="1"/>
  <c r="DB29" i="30880"/>
  <c r="DC29" i="30880" s="1"/>
  <c r="DD29" i="30880"/>
  <c r="DE29" i="30880" s="1"/>
  <c r="DF29" i="30880"/>
  <c r="DG29" i="30880" s="1"/>
  <c r="DH29" i="30880"/>
  <c r="DI29" i="30880" s="1"/>
  <c r="DJ29" i="30880"/>
  <c r="DK29" i="30880" s="1"/>
  <c r="DL29" i="30880"/>
  <c r="DM29" i="30880" s="1"/>
  <c r="DP29" i="30880"/>
  <c r="DQ29" i="30880" s="1"/>
  <c r="DR29" i="30880"/>
  <c r="DS29" i="30880" s="1"/>
  <c r="AT30" i="30880"/>
  <c r="AU30" i="30880" s="1"/>
  <c r="AV30" i="30880"/>
  <c r="AW30" i="30880" s="1"/>
  <c r="AX30" i="30880"/>
  <c r="AY30" i="30880" s="1"/>
  <c r="AZ30" i="30880"/>
  <c r="BA30" i="30880" s="1"/>
  <c r="BB30" i="30880"/>
  <c r="BC30" i="30880" s="1"/>
  <c r="BD30" i="30880"/>
  <c r="BE30" i="30880" s="1"/>
  <c r="BF30" i="30880"/>
  <c r="BG30" i="30880" s="1"/>
  <c r="BH30" i="30880"/>
  <c r="BI30" i="30880" s="1"/>
  <c r="BJ30" i="30880"/>
  <c r="BK30" i="30880" s="1"/>
  <c r="BL30" i="30880"/>
  <c r="BM30" i="30880" s="1"/>
  <c r="BN30" i="30880"/>
  <c r="BO30" i="30880" s="1"/>
  <c r="BP30" i="30880"/>
  <c r="BQ30" i="30880" s="1"/>
  <c r="BR30" i="30880"/>
  <c r="BS30" i="30880" s="1"/>
  <c r="BT30" i="30880"/>
  <c r="BU30" i="30880" s="1"/>
  <c r="BV30" i="30880"/>
  <c r="BW30" i="30880" s="1"/>
  <c r="BX30" i="30880"/>
  <c r="BY30" i="30880" s="1"/>
  <c r="BZ30" i="30880"/>
  <c r="CA30" i="30880" s="1"/>
  <c r="CB30" i="30880"/>
  <c r="CC30" i="30880" s="1"/>
  <c r="CD30" i="30880"/>
  <c r="CE30" i="30880" s="1"/>
  <c r="CF30" i="30880"/>
  <c r="CG30" i="30880" s="1"/>
  <c r="CH30" i="30880"/>
  <c r="CI30" i="30880" s="1"/>
  <c r="CJ30" i="30880"/>
  <c r="CK30" i="30880" s="1"/>
  <c r="CL30" i="30880"/>
  <c r="CM30" i="30880" s="1"/>
  <c r="CN30" i="30880"/>
  <c r="CO30" i="30880" s="1"/>
  <c r="CP30" i="30880"/>
  <c r="CQ30" i="30880" s="1"/>
  <c r="CR30" i="30880"/>
  <c r="CS30" i="30880" s="1"/>
  <c r="CT30" i="30880"/>
  <c r="CU30" i="30880" s="1"/>
  <c r="CV30" i="30880"/>
  <c r="CW30" i="30880" s="1"/>
  <c r="CX30" i="30880"/>
  <c r="CY30" i="30880" s="1"/>
  <c r="CZ30" i="30880"/>
  <c r="DA30" i="30880" s="1"/>
  <c r="DB30" i="30880"/>
  <c r="DC30" i="30880" s="1"/>
  <c r="DD30" i="30880"/>
  <c r="DE30" i="30880" s="1"/>
  <c r="DF30" i="30880"/>
  <c r="DG30" i="30880" s="1"/>
  <c r="DH30" i="30880"/>
  <c r="DI30" i="30880" s="1"/>
  <c r="DJ30" i="30880"/>
  <c r="DK30" i="30880" s="1"/>
  <c r="DL30" i="30880"/>
  <c r="DM30" i="30880" s="1"/>
  <c r="DP30" i="30880"/>
  <c r="DQ30" i="30880" s="1"/>
  <c r="DR30" i="30880"/>
  <c r="DS30" i="30880" s="1"/>
  <c r="AT31" i="30880"/>
  <c r="AU31" i="30880" s="1"/>
  <c r="AV31" i="30880"/>
  <c r="AW31" i="30880" s="1"/>
  <c r="AX31" i="30880"/>
  <c r="AY31" i="30880" s="1"/>
  <c r="AZ31" i="30880"/>
  <c r="BA31" i="30880" s="1"/>
  <c r="BB31" i="30880"/>
  <c r="BC31" i="30880" s="1"/>
  <c r="BD31" i="30880"/>
  <c r="BE31" i="30880" s="1"/>
  <c r="BF31" i="30880"/>
  <c r="BG31" i="30880" s="1"/>
  <c r="BH31" i="30880"/>
  <c r="BI31" i="30880" s="1"/>
  <c r="BJ31" i="30880"/>
  <c r="BK31" i="30880" s="1"/>
  <c r="BL31" i="30880"/>
  <c r="BM31" i="30880" s="1"/>
  <c r="BN31" i="30880"/>
  <c r="BO31" i="30880" s="1"/>
  <c r="BP31" i="30880"/>
  <c r="BQ31" i="30880" s="1"/>
  <c r="BR31" i="30880"/>
  <c r="BS31" i="30880" s="1"/>
  <c r="BT31" i="30880"/>
  <c r="BU31" i="30880" s="1"/>
  <c r="BV31" i="30880"/>
  <c r="BW31" i="30880" s="1"/>
  <c r="BX31" i="30880"/>
  <c r="BY31" i="30880" s="1"/>
  <c r="BZ31" i="30880"/>
  <c r="CA31" i="30880" s="1"/>
  <c r="CB31" i="30880"/>
  <c r="CC31" i="30880" s="1"/>
  <c r="CD31" i="30880"/>
  <c r="CE31" i="30880" s="1"/>
  <c r="CF31" i="30880"/>
  <c r="CG31" i="30880" s="1"/>
  <c r="CH31" i="30880"/>
  <c r="CI31" i="30880" s="1"/>
  <c r="CJ31" i="30880"/>
  <c r="CK31" i="30880" s="1"/>
  <c r="CL31" i="30880"/>
  <c r="CM31" i="30880" s="1"/>
  <c r="CN31" i="30880"/>
  <c r="CO31" i="30880" s="1"/>
  <c r="CP31" i="30880"/>
  <c r="CQ31" i="30880" s="1"/>
  <c r="CR31" i="30880"/>
  <c r="CS31" i="30880" s="1"/>
  <c r="CT31" i="30880"/>
  <c r="CU31" i="30880" s="1"/>
  <c r="CV31" i="30880"/>
  <c r="CW31" i="30880" s="1"/>
  <c r="CX31" i="30880"/>
  <c r="CY31" i="30880" s="1"/>
  <c r="CZ31" i="30880"/>
  <c r="DA31" i="30880" s="1"/>
  <c r="DB31" i="30880"/>
  <c r="DC31" i="30880" s="1"/>
  <c r="DD31" i="30880"/>
  <c r="DE31" i="30880" s="1"/>
  <c r="DF31" i="30880"/>
  <c r="DG31" i="30880" s="1"/>
  <c r="DH31" i="30880"/>
  <c r="DI31" i="30880" s="1"/>
  <c r="DJ31" i="30880"/>
  <c r="DK31" i="30880" s="1"/>
  <c r="DL31" i="30880"/>
  <c r="DM31" i="30880" s="1"/>
  <c r="DP31" i="30880"/>
  <c r="DQ31" i="30880" s="1"/>
  <c r="DR31" i="30880"/>
  <c r="DS31" i="30880" s="1"/>
  <c r="AT32" i="30880"/>
  <c r="AU32" i="30880" s="1"/>
  <c r="AV32" i="30880"/>
  <c r="AW32" i="30880" s="1"/>
  <c r="AX32" i="30880"/>
  <c r="AY32" i="30880" s="1"/>
  <c r="AZ32" i="30880"/>
  <c r="BA32" i="30880" s="1"/>
  <c r="BB32" i="30880"/>
  <c r="BC32" i="30880" s="1"/>
  <c r="BD32" i="30880"/>
  <c r="BE32" i="30880" s="1"/>
  <c r="BF32" i="30880"/>
  <c r="BG32" i="30880" s="1"/>
  <c r="BH32" i="30880"/>
  <c r="BI32" i="30880" s="1"/>
  <c r="BJ32" i="30880"/>
  <c r="BK32" i="30880" s="1"/>
  <c r="BL32" i="30880"/>
  <c r="BM32" i="30880" s="1"/>
  <c r="BN32" i="30880"/>
  <c r="BO32" i="30880" s="1"/>
  <c r="BP32" i="30880"/>
  <c r="BQ32" i="30880" s="1"/>
  <c r="BR32" i="30880"/>
  <c r="BS32" i="30880" s="1"/>
  <c r="BT32" i="30880"/>
  <c r="BU32" i="30880" s="1"/>
  <c r="BV32" i="30880"/>
  <c r="BW32" i="30880" s="1"/>
  <c r="BX32" i="30880"/>
  <c r="BY32" i="30880" s="1"/>
  <c r="BZ32" i="30880"/>
  <c r="CA32" i="30880" s="1"/>
  <c r="CB32" i="30880"/>
  <c r="CC32" i="30880" s="1"/>
  <c r="CD32" i="30880"/>
  <c r="CE32" i="30880" s="1"/>
  <c r="CF32" i="30880"/>
  <c r="CG32" i="30880" s="1"/>
  <c r="CH32" i="30880"/>
  <c r="CI32" i="30880" s="1"/>
  <c r="CJ32" i="30880"/>
  <c r="CK32" i="30880" s="1"/>
  <c r="CL32" i="30880"/>
  <c r="CM32" i="30880" s="1"/>
  <c r="CN32" i="30880"/>
  <c r="CO32" i="30880" s="1"/>
  <c r="CP32" i="30880"/>
  <c r="CQ32" i="30880" s="1"/>
  <c r="CR32" i="30880"/>
  <c r="CS32" i="30880" s="1"/>
  <c r="CT32" i="30880"/>
  <c r="CU32" i="30880" s="1"/>
  <c r="CV32" i="30880"/>
  <c r="CW32" i="30880" s="1"/>
  <c r="CX32" i="30880"/>
  <c r="CY32" i="30880" s="1"/>
  <c r="CZ32" i="30880"/>
  <c r="DA32" i="30880" s="1"/>
  <c r="DB32" i="30880"/>
  <c r="DC32" i="30880" s="1"/>
  <c r="DD32" i="30880"/>
  <c r="DE32" i="30880" s="1"/>
  <c r="DF32" i="30880"/>
  <c r="DG32" i="30880" s="1"/>
  <c r="DH32" i="30880"/>
  <c r="DI32" i="30880" s="1"/>
  <c r="DJ32" i="30880"/>
  <c r="DK32" i="30880" s="1"/>
  <c r="DL32" i="30880"/>
  <c r="DM32" i="30880" s="1"/>
  <c r="DP32" i="30880"/>
  <c r="DQ32" i="30880" s="1"/>
  <c r="DR32" i="30880"/>
  <c r="DS32" i="30880" s="1"/>
  <c r="AT33" i="30880"/>
  <c r="AU33" i="30880" s="1"/>
  <c r="AV33" i="30880"/>
  <c r="AW33" i="30880" s="1"/>
  <c r="AX33" i="30880"/>
  <c r="AY33" i="30880" s="1"/>
  <c r="AZ33" i="30880"/>
  <c r="BA33" i="30880" s="1"/>
  <c r="BB33" i="30880"/>
  <c r="BC33" i="30880" s="1"/>
  <c r="BD33" i="30880"/>
  <c r="BE33" i="30880" s="1"/>
  <c r="BF33" i="30880"/>
  <c r="BG33" i="30880" s="1"/>
  <c r="BH33" i="30880"/>
  <c r="BI33" i="30880" s="1"/>
  <c r="BJ33" i="30880"/>
  <c r="BK33" i="30880" s="1"/>
  <c r="BL33" i="30880"/>
  <c r="BM33" i="30880" s="1"/>
  <c r="BN33" i="30880"/>
  <c r="BO33" i="30880" s="1"/>
  <c r="BP33" i="30880"/>
  <c r="BQ33" i="30880" s="1"/>
  <c r="BR33" i="30880"/>
  <c r="BS33" i="30880" s="1"/>
  <c r="BT33" i="30880"/>
  <c r="BU33" i="30880" s="1"/>
  <c r="BV33" i="30880"/>
  <c r="BW33" i="30880" s="1"/>
  <c r="BX33" i="30880"/>
  <c r="BY33" i="30880" s="1"/>
  <c r="BZ33" i="30880"/>
  <c r="CA33" i="30880" s="1"/>
  <c r="CB33" i="30880"/>
  <c r="CC33" i="30880" s="1"/>
  <c r="CD33" i="30880"/>
  <c r="CE33" i="30880" s="1"/>
  <c r="CF33" i="30880"/>
  <c r="CG33" i="30880" s="1"/>
  <c r="CH33" i="30880"/>
  <c r="CI33" i="30880" s="1"/>
  <c r="CJ33" i="30880"/>
  <c r="CK33" i="30880" s="1"/>
  <c r="CL33" i="30880"/>
  <c r="CM33" i="30880" s="1"/>
  <c r="CN33" i="30880"/>
  <c r="CO33" i="30880" s="1"/>
  <c r="CP33" i="30880"/>
  <c r="CQ33" i="30880" s="1"/>
  <c r="CR33" i="30880"/>
  <c r="CS33" i="30880" s="1"/>
  <c r="CT33" i="30880"/>
  <c r="CU33" i="30880" s="1"/>
  <c r="CV33" i="30880"/>
  <c r="CW33" i="30880" s="1"/>
  <c r="CX33" i="30880"/>
  <c r="CY33" i="30880" s="1"/>
  <c r="CZ33" i="30880"/>
  <c r="DA33" i="30880" s="1"/>
  <c r="DB33" i="30880"/>
  <c r="DC33" i="30880" s="1"/>
  <c r="DD33" i="30880"/>
  <c r="DE33" i="30880" s="1"/>
  <c r="DF33" i="30880"/>
  <c r="DG33" i="30880" s="1"/>
  <c r="DH33" i="30880"/>
  <c r="DI33" i="30880" s="1"/>
  <c r="DJ33" i="30880"/>
  <c r="DK33" i="30880" s="1"/>
  <c r="DL33" i="30880"/>
  <c r="DM33" i="30880" s="1"/>
  <c r="DP33" i="30880"/>
  <c r="DQ33" i="30880" s="1"/>
  <c r="DR33" i="30880"/>
  <c r="DS33" i="30880" s="1"/>
  <c r="DU33" i="30880"/>
  <c r="AT34" i="30880"/>
  <c r="AU34" i="30880" s="1"/>
  <c r="AV34" i="30880"/>
  <c r="AW34" i="30880" s="1"/>
  <c r="AX34" i="30880"/>
  <c r="AY34" i="30880" s="1"/>
  <c r="AZ34" i="30880"/>
  <c r="BA34" i="30880" s="1"/>
  <c r="BB34" i="30880"/>
  <c r="BC34" i="30880" s="1"/>
  <c r="BD34" i="30880"/>
  <c r="BE34" i="30880" s="1"/>
  <c r="BF34" i="30880"/>
  <c r="BG34" i="30880" s="1"/>
  <c r="BH34" i="30880"/>
  <c r="BI34" i="30880" s="1"/>
  <c r="BJ34" i="30880"/>
  <c r="BK34" i="30880" s="1"/>
  <c r="BL34" i="30880"/>
  <c r="BM34" i="30880" s="1"/>
  <c r="BN34" i="30880"/>
  <c r="BO34" i="30880" s="1"/>
  <c r="BP34" i="30880"/>
  <c r="BQ34" i="30880" s="1"/>
  <c r="BR34" i="30880"/>
  <c r="BS34" i="30880" s="1"/>
  <c r="BT34" i="30880"/>
  <c r="BU34" i="30880" s="1"/>
  <c r="BV34" i="30880"/>
  <c r="BW34" i="30880" s="1"/>
  <c r="BX34" i="30880"/>
  <c r="BY34" i="30880" s="1"/>
  <c r="BZ34" i="30880"/>
  <c r="CA34" i="30880" s="1"/>
  <c r="CB34" i="30880"/>
  <c r="CC34" i="30880" s="1"/>
  <c r="CD34" i="30880"/>
  <c r="CE34" i="30880" s="1"/>
  <c r="CF34" i="30880"/>
  <c r="CG34" i="30880" s="1"/>
  <c r="CH34" i="30880"/>
  <c r="CI34" i="30880" s="1"/>
  <c r="CJ34" i="30880"/>
  <c r="CK34" i="30880" s="1"/>
  <c r="CL34" i="30880"/>
  <c r="CM34" i="30880" s="1"/>
  <c r="CN34" i="30880"/>
  <c r="CO34" i="30880" s="1"/>
  <c r="CP34" i="30880"/>
  <c r="CQ34" i="30880" s="1"/>
  <c r="CR34" i="30880"/>
  <c r="CS34" i="30880" s="1"/>
  <c r="CT34" i="30880"/>
  <c r="CU34" i="30880" s="1"/>
  <c r="CV34" i="30880"/>
  <c r="CW34" i="30880" s="1"/>
  <c r="CX34" i="30880"/>
  <c r="CY34" i="30880" s="1"/>
  <c r="CZ34" i="30880"/>
  <c r="DA34" i="30880" s="1"/>
  <c r="DB34" i="30880"/>
  <c r="DC34" i="30880" s="1"/>
  <c r="DD34" i="30880"/>
  <c r="DE34" i="30880" s="1"/>
  <c r="DF34" i="30880"/>
  <c r="DG34" i="30880" s="1"/>
  <c r="DH34" i="30880"/>
  <c r="DI34" i="30880" s="1"/>
  <c r="DJ34" i="30880"/>
  <c r="DK34" i="30880" s="1"/>
  <c r="DL34" i="30880"/>
  <c r="DM34" i="30880" s="1"/>
  <c r="DP34" i="30880"/>
  <c r="DQ34" i="30880" s="1"/>
  <c r="DR34" i="30880"/>
  <c r="DS34" i="30880" s="1"/>
  <c r="AT35" i="30880"/>
  <c r="AU35" i="30880" s="1"/>
  <c r="AV35" i="30880"/>
  <c r="AW35" i="30880" s="1"/>
  <c r="AX35" i="30880"/>
  <c r="AY35" i="30880" s="1"/>
  <c r="AZ35" i="30880"/>
  <c r="BA35" i="30880" s="1"/>
  <c r="BB35" i="30880"/>
  <c r="BC35" i="30880" s="1"/>
  <c r="BD35" i="30880"/>
  <c r="BE35" i="30880" s="1"/>
  <c r="BF35" i="30880"/>
  <c r="BG35" i="30880" s="1"/>
  <c r="BH35" i="30880"/>
  <c r="BI35" i="30880" s="1"/>
  <c r="BJ35" i="30880"/>
  <c r="BK35" i="30880" s="1"/>
  <c r="BL35" i="30880"/>
  <c r="BM35" i="30880" s="1"/>
  <c r="BN35" i="30880"/>
  <c r="BO35" i="30880" s="1"/>
  <c r="BP35" i="30880"/>
  <c r="BQ35" i="30880" s="1"/>
  <c r="BR35" i="30880"/>
  <c r="BS35" i="30880" s="1"/>
  <c r="BT35" i="30880"/>
  <c r="BU35" i="30880" s="1"/>
  <c r="BV35" i="30880"/>
  <c r="BW35" i="30880" s="1"/>
  <c r="BX35" i="30880"/>
  <c r="BY35" i="30880" s="1"/>
  <c r="BZ35" i="30880"/>
  <c r="CA35" i="30880" s="1"/>
  <c r="CB35" i="30880"/>
  <c r="CC35" i="30880" s="1"/>
  <c r="CD35" i="30880"/>
  <c r="CE35" i="30880" s="1"/>
  <c r="CF35" i="30880"/>
  <c r="CG35" i="30880" s="1"/>
  <c r="CH35" i="30880"/>
  <c r="CI35" i="30880" s="1"/>
  <c r="CJ35" i="30880"/>
  <c r="CK35" i="30880" s="1"/>
  <c r="CL35" i="30880"/>
  <c r="CM35" i="30880" s="1"/>
  <c r="CN35" i="30880"/>
  <c r="CO35" i="30880" s="1"/>
  <c r="CP35" i="30880"/>
  <c r="CQ35" i="30880" s="1"/>
  <c r="CR35" i="30880"/>
  <c r="CS35" i="30880" s="1"/>
  <c r="CT35" i="30880"/>
  <c r="CU35" i="30880" s="1"/>
  <c r="CV35" i="30880"/>
  <c r="CW35" i="30880" s="1"/>
  <c r="CX35" i="30880"/>
  <c r="CY35" i="30880" s="1"/>
  <c r="CZ35" i="30880"/>
  <c r="DA35" i="30880" s="1"/>
  <c r="DB35" i="30880"/>
  <c r="DC35" i="30880" s="1"/>
  <c r="DD35" i="30880"/>
  <c r="DE35" i="30880" s="1"/>
  <c r="DF35" i="30880"/>
  <c r="DG35" i="30880" s="1"/>
  <c r="DH35" i="30880"/>
  <c r="DI35" i="30880" s="1"/>
  <c r="DJ35" i="30880"/>
  <c r="DK35" i="30880" s="1"/>
  <c r="DL35" i="30880"/>
  <c r="DM35" i="30880" s="1"/>
  <c r="DP35" i="30880"/>
  <c r="DQ35" i="30880" s="1"/>
  <c r="DR35" i="30880"/>
  <c r="DS35" i="30880" s="1"/>
  <c r="AT36" i="30880"/>
  <c r="AU36" i="30880" s="1"/>
  <c r="AV36" i="30880"/>
  <c r="AW36" i="30880" s="1"/>
  <c r="AX36" i="30880"/>
  <c r="AY36" i="30880" s="1"/>
  <c r="AZ36" i="30880"/>
  <c r="BA36" i="30880" s="1"/>
  <c r="BB36" i="30880"/>
  <c r="BC36" i="30880" s="1"/>
  <c r="BD36" i="30880"/>
  <c r="BE36" i="30880" s="1"/>
  <c r="BF36" i="30880"/>
  <c r="BG36" i="30880" s="1"/>
  <c r="BH36" i="30880"/>
  <c r="BI36" i="30880" s="1"/>
  <c r="BJ36" i="30880"/>
  <c r="BK36" i="30880" s="1"/>
  <c r="BL36" i="30880"/>
  <c r="BM36" i="30880" s="1"/>
  <c r="BN36" i="30880"/>
  <c r="BO36" i="30880" s="1"/>
  <c r="BP36" i="30880"/>
  <c r="BQ36" i="30880" s="1"/>
  <c r="BR36" i="30880"/>
  <c r="BS36" i="30880" s="1"/>
  <c r="BT36" i="30880"/>
  <c r="BU36" i="30880" s="1"/>
  <c r="BV36" i="30880"/>
  <c r="BW36" i="30880" s="1"/>
  <c r="BX36" i="30880"/>
  <c r="BY36" i="30880" s="1"/>
  <c r="BZ36" i="30880"/>
  <c r="CA36" i="30880" s="1"/>
  <c r="CB36" i="30880"/>
  <c r="CC36" i="30880" s="1"/>
  <c r="CD36" i="30880"/>
  <c r="CE36" i="30880" s="1"/>
  <c r="CF36" i="30880"/>
  <c r="CG36" i="30880" s="1"/>
  <c r="CH36" i="30880"/>
  <c r="CI36" i="30880" s="1"/>
  <c r="CJ36" i="30880"/>
  <c r="CK36" i="30880" s="1"/>
  <c r="CL36" i="30880"/>
  <c r="CM36" i="30880" s="1"/>
  <c r="CN36" i="30880"/>
  <c r="CO36" i="30880" s="1"/>
  <c r="CP36" i="30880"/>
  <c r="CQ36" i="30880" s="1"/>
  <c r="CR36" i="30880"/>
  <c r="CS36" i="30880" s="1"/>
  <c r="CT36" i="30880"/>
  <c r="CU36" i="30880" s="1"/>
  <c r="CV36" i="30880"/>
  <c r="CW36" i="30880" s="1"/>
  <c r="CX36" i="30880"/>
  <c r="CY36" i="30880" s="1"/>
  <c r="CZ36" i="30880"/>
  <c r="DA36" i="30880" s="1"/>
  <c r="DB36" i="30880"/>
  <c r="DC36" i="30880" s="1"/>
  <c r="DD36" i="30880"/>
  <c r="DE36" i="30880" s="1"/>
  <c r="DF36" i="30880"/>
  <c r="DG36" i="30880" s="1"/>
  <c r="DH36" i="30880"/>
  <c r="DI36" i="30880" s="1"/>
  <c r="DJ36" i="30880"/>
  <c r="DK36" i="30880" s="1"/>
  <c r="DL36" i="30880"/>
  <c r="DM36" i="30880" s="1"/>
  <c r="DP36" i="30880"/>
  <c r="DQ36" i="30880" s="1"/>
  <c r="DR36" i="30880"/>
  <c r="DS36" i="30880" s="1"/>
  <c r="AT37" i="30880"/>
  <c r="AU37" i="30880" s="1"/>
  <c r="AV37" i="30880"/>
  <c r="AW37" i="30880" s="1"/>
  <c r="AX37" i="30880"/>
  <c r="AY37" i="30880" s="1"/>
  <c r="AZ37" i="30880"/>
  <c r="BA37" i="30880" s="1"/>
  <c r="BB37" i="30880"/>
  <c r="BC37" i="30880" s="1"/>
  <c r="BD37" i="30880"/>
  <c r="BE37" i="30880" s="1"/>
  <c r="BF37" i="30880"/>
  <c r="BG37" i="30880" s="1"/>
  <c r="BH37" i="30880"/>
  <c r="BI37" i="30880" s="1"/>
  <c r="BJ37" i="30880"/>
  <c r="BK37" i="30880" s="1"/>
  <c r="BL37" i="30880"/>
  <c r="BM37" i="30880" s="1"/>
  <c r="BN37" i="30880"/>
  <c r="BO37" i="30880" s="1"/>
  <c r="BP37" i="30880"/>
  <c r="BQ37" i="30880" s="1"/>
  <c r="BR37" i="30880"/>
  <c r="BS37" i="30880" s="1"/>
  <c r="BT37" i="30880"/>
  <c r="BU37" i="30880" s="1"/>
  <c r="BV37" i="30880"/>
  <c r="BW37" i="30880" s="1"/>
  <c r="BX37" i="30880"/>
  <c r="BY37" i="30880" s="1"/>
  <c r="BZ37" i="30880"/>
  <c r="CA37" i="30880" s="1"/>
  <c r="CB37" i="30880"/>
  <c r="CC37" i="30880" s="1"/>
  <c r="CD37" i="30880"/>
  <c r="CE37" i="30880" s="1"/>
  <c r="CF37" i="30880"/>
  <c r="CG37" i="30880" s="1"/>
  <c r="CH37" i="30880"/>
  <c r="CI37" i="30880" s="1"/>
  <c r="CJ37" i="30880"/>
  <c r="CK37" i="30880" s="1"/>
  <c r="CL37" i="30880"/>
  <c r="CM37" i="30880" s="1"/>
  <c r="CN37" i="30880"/>
  <c r="CO37" i="30880" s="1"/>
  <c r="CP37" i="30880"/>
  <c r="CQ37" i="30880" s="1"/>
  <c r="CR37" i="30880"/>
  <c r="CS37" i="30880" s="1"/>
  <c r="CT37" i="30880"/>
  <c r="CU37" i="30880" s="1"/>
  <c r="CV37" i="30880"/>
  <c r="CW37" i="30880" s="1"/>
  <c r="CX37" i="30880"/>
  <c r="CY37" i="30880" s="1"/>
  <c r="CZ37" i="30880"/>
  <c r="DA37" i="30880" s="1"/>
  <c r="DB37" i="30880"/>
  <c r="DC37" i="30880" s="1"/>
  <c r="DD37" i="30880"/>
  <c r="DE37" i="30880" s="1"/>
  <c r="DF37" i="30880"/>
  <c r="DG37" i="30880" s="1"/>
  <c r="DH37" i="30880"/>
  <c r="DI37" i="30880" s="1"/>
  <c r="DJ37" i="30880"/>
  <c r="DK37" i="30880" s="1"/>
  <c r="DL37" i="30880"/>
  <c r="DM37" i="30880" s="1"/>
  <c r="DP37" i="30880"/>
  <c r="DQ37" i="30880" s="1"/>
  <c r="DR37" i="30880"/>
  <c r="DS37" i="30880" s="1"/>
  <c r="AT38" i="30880"/>
  <c r="AU38" i="30880" s="1"/>
  <c r="AV38" i="30880"/>
  <c r="AW38" i="30880" s="1"/>
  <c r="AX38" i="30880"/>
  <c r="AY38" i="30880" s="1"/>
  <c r="AZ38" i="30880"/>
  <c r="BA38" i="30880" s="1"/>
  <c r="BB38" i="30880"/>
  <c r="BC38" i="30880" s="1"/>
  <c r="BD38" i="30880"/>
  <c r="BE38" i="30880" s="1"/>
  <c r="BF38" i="30880"/>
  <c r="BG38" i="30880" s="1"/>
  <c r="BH38" i="30880"/>
  <c r="BI38" i="30880" s="1"/>
  <c r="BJ38" i="30880"/>
  <c r="BK38" i="30880" s="1"/>
  <c r="BL38" i="30880"/>
  <c r="BM38" i="30880" s="1"/>
  <c r="BN38" i="30880"/>
  <c r="BO38" i="30880" s="1"/>
  <c r="BP38" i="30880"/>
  <c r="BQ38" i="30880" s="1"/>
  <c r="BR38" i="30880"/>
  <c r="BS38" i="30880" s="1"/>
  <c r="BT38" i="30880"/>
  <c r="BU38" i="30880" s="1"/>
  <c r="BV38" i="30880"/>
  <c r="BW38" i="30880" s="1"/>
  <c r="BX38" i="30880"/>
  <c r="BY38" i="30880" s="1"/>
  <c r="BZ38" i="30880"/>
  <c r="CA38" i="30880" s="1"/>
  <c r="CB38" i="30880"/>
  <c r="CC38" i="30880" s="1"/>
  <c r="CD38" i="30880"/>
  <c r="CE38" i="30880" s="1"/>
  <c r="CF38" i="30880"/>
  <c r="CG38" i="30880" s="1"/>
  <c r="CH38" i="30880"/>
  <c r="CI38" i="30880" s="1"/>
  <c r="CJ38" i="30880"/>
  <c r="CK38" i="30880" s="1"/>
  <c r="CL38" i="30880"/>
  <c r="CM38" i="30880" s="1"/>
  <c r="CN38" i="30880"/>
  <c r="CO38" i="30880" s="1"/>
  <c r="CP38" i="30880"/>
  <c r="CQ38" i="30880" s="1"/>
  <c r="CR38" i="30880"/>
  <c r="CS38" i="30880" s="1"/>
  <c r="CT38" i="30880"/>
  <c r="CU38" i="30880" s="1"/>
  <c r="CV38" i="30880"/>
  <c r="CW38" i="30880" s="1"/>
  <c r="CX38" i="30880"/>
  <c r="CY38" i="30880" s="1"/>
  <c r="CZ38" i="30880"/>
  <c r="DA38" i="30880" s="1"/>
  <c r="DB38" i="30880"/>
  <c r="DC38" i="30880" s="1"/>
  <c r="DD38" i="30880"/>
  <c r="DE38" i="30880" s="1"/>
  <c r="DF38" i="30880"/>
  <c r="DG38" i="30880" s="1"/>
  <c r="DH38" i="30880"/>
  <c r="DI38" i="30880" s="1"/>
  <c r="DJ38" i="30880"/>
  <c r="DK38" i="30880" s="1"/>
  <c r="DL38" i="30880"/>
  <c r="DM38" i="30880" s="1"/>
  <c r="DP38" i="30880"/>
  <c r="DQ38" i="30880" s="1"/>
  <c r="DR38" i="30880"/>
  <c r="DS38" i="30880" s="1"/>
  <c r="AT39" i="30880"/>
  <c r="AU39" i="30880" s="1"/>
  <c r="AV39" i="30880"/>
  <c r="AW39" i="30880" s="1"/>
  <c r="AX39" i="30880"/>
  <c r="AY39" i="30880" s="1"/>
  <c r="AZ39" i="30880"/>
  <c r="BA39" i="30880" s="1"/>
  <c r="BB39" i="30880"/>
  <c r="BC39" i="30880" s="1"/>
  <c r="BD39" i="30880"/>
  <c r="BE39" i="30880" s="1"/>
  <c r="BF39" i="30880"/>
  <c r="BG39" i="30880" s="1"/>
  <c r="BH39" i="30880"/>
  <c r="BI39" i="30880" s="1"/>
  <c r="BJ39" i="30880"/>
  <c r="BK39" i="30880" s="1"/>
  <c r="BL39" i="30880"/>
  <c r="BM39" i="30880" s="1"/>
  <c r="BN39" i="30880"/>
  <c r="BO39" i="30880" s="1"/>
  <c r="BP39" i="30880"/>
  <c r="BQ39" i="30880" s="1"/>
  <c r="BR39" i="30880"/>
  <c r="BS39" i="30880" s="1"/>
  <c r="BT39" i="30880"/>
  <c r="BU39" i="30880" s="1"/>
  <c r="BV39" i="30880"/>
  <c r="BW39" i="30880" s="1"/>
  <c r="BX39" i="30880"/>
  <c r="BY39" i="30880" s="1"/>
  <c r="BZ39" i="30880"/>
  <c r="CA39" i="30880" s="1"/>
  <c r="CB39" i="30880"/>
  <c r="CC39" i="30880" s="1"/>
  <c r="CD39" i="30880"/>
  <c r="CE39" i="30880" s="1"/>
  <c r="CF39" i="30880"/>
  <c r="CG39" i="30880" s="1"/>
  <c r="CH39" i="30880"/>
  <c r="CI39" i="30880" s="1"/>
  <c r="CJ39" i="30880"/>
  <c r="CK39" i="30880" s="1"/>
  <c r="CL39" i="30880"/>
  <c r="CM39" i="30880" s="1"/>
  <c r="CN39" i="30880"/>
  <c r="CO39" i="30880" s="1"/>
  <c r="CP39" i="30880"/>
  <c r="CQ39" i="30880" s="1"/>
  <c r="CR39" i="30880"/>
  <c r="CS39" i="30880" s="1"/>
  <c r="CT39" i="30880"/>
  <c r="CU39" i="30880" s="1"/>
  <c r="CV39" i="30880"/>
  <c r="CW39" i="30880" s="1"/>
  <c r="CX39" i="30880"/>
  <c r="CY39" i="30880" s="1"/>
  <c r="CZ39" i="30880"/>
  <c r="DA39" i="30880" s="1"/>
  <c r="DB39" i="30880"/>
  <c r="DC39" i="30880" s="1"/>
  <c r="DD39" i="30880"/>
  <c r="DE39" i="30880" s="1"/>
  <c r="DF39" i="30880"/>
  <c r="DG39" i="30880" s="1"/>
  <c r="DH39" i="30880"/>
  <c r="DI39" i="30880" s="1"/>
  <c r="DJ39" i="30880"/>
  <c r="DK39" i="30880" s="1"/>
  <c r="DL39" i="30880"/>
  <c r="DM39" i="30880" s="1"/>
  <c r="DP39" i="30880"/>
  <c r="DQ39" i="30880" s="1"/>
  <c r="DR39" i="30880"/>
  <c r="DS39" i="30880" s="1"/>
  <c r="AT40" i="30880"/>
  <c r="AU40" i="30880" s="1"/>
  <c r="AV40" i="30880"/>
  <c r="AW40" i="30880" s="1"/>
  <c r="AX40" i="30880"/>
  <c r="AY40" i="30880" s="1"/>
  <c r="AZ40" i="30880"/>
  <c r="BA40" i="30880" s="1"/>
  <c r="BB40" i="30880"/>
  <c r="BC40" i="30880" s="1"/>
  <c r="BD40" i="30880"/>
  <c r="BE40" i="30880" s="1"/>
  <c r="BF40" i="30880"/>
  <c r="BG40" i="30880" s="1"/>
  <c r="BH40" i="30880"/>
  <c r="BI40" i="30880" s="1"/>
  <c r="BJ40" i="30880"/>
  <c r="BK40" i="30880" s="1"/>
  <c r="BL40" i="30880"/>
  <c r="BM40" i="30880" s="1"/>
  <c r="BN40" i="30880"/>
  <c r="BO40" i="30880" s="1"/>
  <c r="BP40" i="30880"/>
  <c r="BQ40" i="30880" s="1"/>
  <c r="BR40" i="30880"/>
  <c r="BS40" i="30880" s="1"/>
  <c r="BT40" i="30880"/>
  <c r="BU40" i="30880" s="1"/>
  <c r="BV40" i="30880"/>
  <c r="BW40" i="30880" s="1"/>
  <c r="BX40" i="30880"/>
  <c r="BY40" i="30880" s="1"/>
  <c r="BZ40" i="30880"/>
  <c r="CA40" i="30880" s="1"/>
  <c r="CB40" i="30880"/>
  <c r="CC40" i="30880" s="1"/>
  <c r="CD40" i="30880"/>
  <c r="CE40" i="30880" s="1"/>
  <c r="CF40" i="30880"/>
  <c r="CG40" i="30880" s="1"/>
  <c r="CH40" i="30880"/>
  <c r="CI40" i="30880" s="1"/>
  <c r="CJ40" i="30880"/>
  <c r="CK40" i="30880" s="1"/>
  <c r="CL40" i="30880"/>
  <c r="CM40" i="30880" s="1"/>
  <c r="CN40" i="30880"/>
  <c r="CO40" i="30880" s="1"/>
  <c r="CP40" i="30880"/>
  <c r="CQ40" i="30880" s="1"/>
  <c r="CR40" i="30880"/>
  <c r="CS40" i="30880" s="1"/>
  <c r="CT40" i="30880"/>
  <c r="CU40" i="30880" s="1"/>
  <c r="CV40" i="30880"/>
  <c r="CW40" i="30880" s="1"/>
  <c r="CX40" i="30880"/>
  <c r="CY40" i="30880" s="1"/>
  <c r="CZ40" i="30880"/>
  <c r="DA40" i="30880" s="1"/>
  <c r="DB40" i="30880"/>
  <c r="DC40" i="30880" s="1"/>
  <c r="DD40" i="30880"/>
  <c r="DE40" i="30880" s="1"/>
  <c r="DF40" i="30880"/>
  <c r="DG40" i="30880" s="1"/>
  <c r="DH40" i="30880"/>
  <c r="DI40" i="30880" s="1"/>
  <c r="DJ40" i="30880"/>
  <c r="DK40" i="30880" s="1"/>
  <c r="DL40" i="30880"/>
  <c r="DM40" i="30880" s="1"/>
  <c r="DP40" i="30880"/>
  <c r="DQ40" i="30880" s="1"/>
  <c r="DR40" i="30880"/>
  <c r="DS40" i="30880" s="1"/>
  <c r="AT41" i="30880"/>
  <c r="AU41" i="30880" s="1"/>
  <c r="AV41" i="30880"/>
  <c r="AW41" i="30880" s="1"/>
  <c r="AX41" i="30880"/>
  <c r="AY41" i="30880" s="1"/>
  <c r="AZ41" i="30880"/>
  <c r="BA41" i="30880" s="1"/>
  <c r="BB41" i="30880"/>
  <c r="BC41" i="30880" s="1"/>
  <c r="BD41" i="30880"/>
  <c r="BE41" i="30880" s="1"/>
  <c r="BF41" i="30880"/>
  <c r="BG41" i="30880" s="1"/>
  <c r="BH41" i="30880"/>
  <c r="BI41" i="30880" s="1"/>
  <c r="BJ41" i="30880"/>
  <c r="BK41" i="30880" s="1"/>
  <c r="BL41" i="30880"/>
  <c r="BM41" i="30880" s="1"/>
  <c r="BN41" i="30880"/>
  <c r="BO41" i="30880" s="1"/>
  <c r="BP41" i="30880"/>
  <c r="BQ41" i="30880" s="1"/>
  <c r="BR41" i="30880"/>
  <c r="BS41" i="30880" s="1"/>
  <c r="BT41" i="30880"/>
  <c r="BU41" i="30880" s="1"/>
  <c r="BV41" i="30880"/>
  <c r="BW41" i="30880" s="1"/>
  <c r="BX41" i="30880"/>
  <c r="BY41" i="30880" s="1"/>
  <c r="BZ41" i="30880"/>
  <c r="CA41" i="30880" s="1"/>
  <c r="CB41" i="30880"/>
  <c r="CC41" i="30880" s="1"/>
  <c r="CD41" i="30880"/>
  <c r="CE41" i="30880" s="1"/>
  <c r="CF41" i="30880"/>
  <c r="CG41" i="30880" s="1"/>
  <c r="CH41" i="30880"/>
  <c r="CI41" i="30880" s="1"/>
  <c r="CJ41" i="30880"/>
  <c r="CK41" i="30880" s="1"/>
  <c r="CL41" i="30880"/>
  <c r="CM41" i="30880" s="1"/>
  <c r="CN41" i="30880"/>
  <c r="CO41" i="30880" s="1"/>
  <c r="CP41" i="30880"/>
  <c r="CQ41" i="30880" s="1"/>
  <c r="CR41" i="30880"/>
  <c r="CS41" i="30880" s="1"/>
  <c r="CT41" i="30880"/>
  <c r="CU41" i="30880" s="1"/>
  <c r="CV41" i="30880"/>
  <c r="CW41" i="30880" s="1"/>
  <c r="CX41" i="30880"/>
  <c r="CY41" i="30880" s="1"/>
  <c r="CZ41" i="30880"/>
  <c r="DA41" i="30880" s="1"/>
  <c r="DB41" i="30880"/>
  <c r="DC41" i="30880" s="1"/>
  <c r="DD41" i="30880"/>
  <c r="DE41" i="30880" s="1"/>
  <c r="DF41" i="30880"/>
  <c r="DG41" i="30880" s="1"/>
  <c r="DH41" i="30880"/>
  <c r="DI41" i="30880" s="1"/>
  <c r="DJ41" i="30880"/>
  <c r="DK41" i="30880" s="1"/>
  <c r="DL41" i="30880"/>
  <c r="DM41" i="30880" s="1"/>
  <c r="DP41" i="30880"/>
  <c r="DQ41" i="30880" s="1"/>
  <c r="DR41" i="30880"/>
  <c r="DS41" i="30880" s="1"/>
  <c r="AT42" i="30880"/>
  <c r="AU42" i="30880" s="1"/>
  <c r="AV42" i="30880"/>
  <c r="AW42" i="30880" s="1"/>
  <c r="AX42" i="30880"/>
  <c r="AY42" i="30880" s="1"/>
  <c r="AZ42" i="30880"/>
  <c r="BA42" i="30880" s="1"/>
  <c r="BB42" i="30880"/>
  <c r="BC42" i="30880" s="1"/>
  <c r="BD42" i="30880"/>
  <c r="BE42" i="30880" s="1"/>
  <c r="BF42" i="30880"/>
  <c r="BG42" i="30880" s="1"/>
  <c r="BH42" i="30880"/>
  <c r="BI42" i="30880" s="1"/>
  <c r="BJ42" i="30880"/>
  <c r="BK42" i="30880" s="1"/>
  <c r="BL42" i="30880"/>
  <c r="BM42" i="30880" s="1"/>
  <c r="BN42" i="30880"/>
  <c r="BO42" i="30880" s="1"/>
  <c r="BP42" i="30880"/>
  <c r="BQ42" i="30880" s="1"/>
  <c r="BR42" i="30880"/>
  <c r="BS42" i="30880" s="1"/>
  <c r="BT42" i="30880"/>
  <c r="BU42" i="30880" s="1"/>
  <c r="BV42" i="30880"/>
  <c r="BW42" i="30880" s="1"/>
  <c r="BX42" i="30880"/>
  <c r="BY42" i="30880" s="1"/>
  <c r="BZ42" i="30880"/>
  <c r="CA42" i="30880" s="1"/>
  <c r="CB42" i="30880"/>
  <c r="CC42" i="30880" s="1"/>
  <c r="CD42" i="30880"/>
  <c r="CE42" i="30880" s="1"/>
  <c r="CF42" i="30880"/>
  <c r="CG42" i="30880" s="1"/>
  <c r="CH42" i="30880"/>
  <c r="CI42" i="30880" s="1"/>
  <c r="CJ42" i="30880"/>
  <c r="CK42" i="30880" s="1"/>
  <c r="CL42" i="30880"/>
  <c r="CM42" i="30880" s="1"/>
  <c r="CN42" i="30880"/>
  <c r="CO42" i="30880" s="1"/>
  <c r="CP42" i="30880"/>
  <c r="CQ42" i="30880" s="1"/>
  <c r="CR42" i="30880"/>
  <c r="CS42" i="30880" s="1"/>
  <c r="CT42" i="30880"/>
  <c r="CU42" i="30880" s="1"/>
  <c r="CV42" i="30880"/>
  <c r="CW42" i="30880" s="1"/>
  <c r="CX42" i="30880"/>
  <c r="CY42" i="30880" s="1"/>
  <c r="CZ42" i="30880"/>
  <c r="DA42" i="30880" s="1"/>
  <c r="DB42" i="30880"/>
  <c r="DC42" i="30880" s="1"/>
  <c r="DD42" i="30880"/>
  <c r="DE42" i="30880" s="1"/>
  <c r="DF42" i="30880"/>
  <c r="DG42" i="30880" s="1"/>
  <c r="DH42" i="30880"/>
  <c r="DI42" i="30880" s="1"/>
  <c r="DJ42" i="30880"/>
  <c r="DK42" i="30880" s="1"/>
  <c r="DL42" i="30880"/>
  <c r="DM42" i="30880" s="1"/>
  <c r="DP42" i="30880"/>
  <c r="DQ42" i="30880" s="1"/>
  <c r="DR42" i="30880"/>
  <c r="DS42" i="30880" s="1"/>
  <c r="AT43" i="30880"/>
  <c r="AU43" i="30880" s="1"/>
  <c r="AV43" i="30880"/>
  <c r="AW43" i="30880" s="1"/>
  <c r="AX43" i="30880"/>
  <c r="AY43" i="30880" s="1"/>
  <c r="AZ43" i="30880"/>
  <c r="BA43" i="30880" s="1"/>
  <c r="BB43" i="30880"/>
  <c r="BC43" i="30880" s="1"/>
  <c r="BD43" i="30880"/>
  <c r="BE43" i="30880" s="1"/>
  <c r="BF43" i="30880"/>
  <c r="BG43" i="30880" s="1"/>
  <c r="BH43" i="30880"/>
  <c r="BI43" i="30880" s="1"/>
  <c r="BJ43" i="30880"/>
  <c r="BK43" i="30880" s="1"/>
  <c r="BL43" i="30880"/>
  <c r="BM43" i="30880" s="1"/>
  <c r="BN43" i="30880"/>
  <c r="BO43" i="30880" s="1"/>
  <c r="BP43" i="30880"/>
  <c r="BQ43" i="30880" s="1"/>
  <c r="BR43" i="30880"/>
  <c r="BS43" i="30880" s="1"/>
  <c r="BT43" i="30880"/>
  <c r="BU43" i="30880" s="1"/>
  <c r="BV43" i="30880"/>
  <c r="BW43" i="30880" s="1"/>
  <c r="BX43" i="30880"/>
  <c r="BY43" i="30880" s="1"/>
  <c r="BZ43" i="30880"/>
  <c r="CA43" i="30880" s="1"/>
  <c r="CB43" i="30880"/>
  <c r="CC43" i="30880" s="1"/>
  <c r="CD43" i="30880"/>
  <c r="CE43" i="30880" s="1"/>
  <c r="CF43" i="30880"/>
  <c r="CG43" i="30880" s="1"/>
  <c r="CH43" i="30880"/>
  <c r="CI43" i="30880" s="1"/>
  <c r="CJ43" i="30880"/>
  <c r="CK43" i="30880" s="1"/>
  <c r="CL43" i="30880"/>
  <c r="CM43" i="30880" s="1"/>
  <c r="CN43" i="30880"/>
  <c r="CO43" i="30880" s="1"/>
  <c r="CP43" i="30880"/>
  <c r="CQ43" i="30880" s="1"/>
  <c r="CR43" i="30880"/>
  <c r="CS43" i="30880" s="1"/>
  <c r="CT43" i="30880"/>
  <c r="CU43" i="30880" s="1"/>
  <c r="CV43" i="30880"/>
  <c r="CW43" i="30880" s="1"/>
  <c r="CX43" i="30880"/>
  <c r="CY43" i="30880" s="1"/>
  <c r="CZ43" i="30880"/>
  <c r="DA43" i="30880" s="1"/>
  <c r="DB43" i="30880"/>
  <c r="DC43" i="30880" s="1"/>
  <c r="DD43" i="30880"/>
  <c r="DE43" i="30880" s="1"/>
  <c r="DF43" i="30880"/>
  <c r="DG43" i="30880" s="1"/>
  <c r="DH43" i="30880"/>
  <c r="DI43" i="30880" s="1"/>
  <c r="DJ43" i="30880"/>
  <c r="DK43" i="30880" s="1"/>
  <c r="DL43" i="30880"/>
  <c r="DM43" i="30880" s="1"/>
  <c r="DP43" i="30880"/>
  <c r="DQ43" i="30880" s="1"/>
  <c r="DR43" i="30880"/>
  <c r="DS43" i="30880" s="1"/>
  <c r="AT44" i="30880"/>
  <c r="AU44" i="30880" s="1"/>
  <c r="AV44" i="30880"/>
  <c r="AW44" i="30880" s="1"/>
  <c r="AX44" i="30880"/>
  <c r="AY44" i="30880" s="1"/>
  <c r="AZ44" i="30880"/>
  <c r="BA44" i="30880" s="1"/>
  <c r="BB44" i="30880"/>
  <c r="BC44" i="30880" s="1"/>
  <c r="BD44" i="30880"/>
  <c r="BE44" i="30880" s="1"/>
  <c r="BF44" i="30880"/>
  <c r="BG44" i="30880" s="1"/>
  <c r="BH44" i="30880"/>
  <c r="BI44" i="30880" s="1"/>
  <c r="BJ44" i="30880"/>
  <c r="BK44" i="30880" s="1"/>
  <c r="BL44" i="30880"/>
  <c r="BM44" i="30880" s="1"/>
  <c r="BN44" i="30880"/>
  <c r="BO44" i="30880" s="1"/>
  <c r="BP44" i="30880"/>
  <c r="BQ44" i="30880" s="1"/>
  <c r="BR44" i="30880"/>
  <c r="BS44" i="30880" s="1"/>
  <c r="BT44" i="30880"/>
  <c r="BU44" i="30880" s="1"/>
  <c r="BV44" i="30880"/>
  <c r="BW44" i="30880" s="1"/>
  <c r="BX44" i="30880"/>
  <c r="BY44" i="30880" s="1"/>
  <c r="BZ44" i="30880"/>
  <c r="CA44" i="30880" s="1"/>
  <c r="CB44" i="30880"/>
  <c r="CC44" i="30880" s="1"/>
  <c r="CD44" i="30880"/>
  <c r="CE44" i="30880" s="1"/>
  <c r="CF44" i="30880"/>
  <c r="CG44" i="30880" s="1"/>
  <c r="CH44" i="30880"/>
  <c r="CI44" i="30880" s="1"/>
  <c r="CJ44" i="30880"/>
  <c r="CK44" i="30880" s="1"/>
  <c r="CL44" i="30880"/>
  <c r="CM44" i="30880" s="1"/>
  <c r="CN44" i="30880"/>
  <c r="CO44" i="30880" s="1"/>
  <c r="CP44" i="30880"/>
  <c r="CQ44" i="30880" s="1"/>
  <c r="CR44" i="30880"/>
  <c r="CS44" i="30880" s="1"/>
  <c r="CT44" i="30880"/>
  <c r="CU44" i="30880" s="1"/>
  <c r="CV44" i="30880"/>
  <c r="CW44" i="30880" s="1"/>
  <c r="CX44" i="30880"/>
  <c r="CY44" i="30880" s="1"/>
  <c r="CZ44" i="30880"/>
  <c r="DA44" i="30880" s="1"/>
  <c r="DB44" i="30880"/>
  <c r="DC44" i="30880" s="1"/>
  <c r="DD44" i="30880"/>
  <c r="DE44" i="30880" s="1"/>
  <c r="DF44" i="30880"/>
  <c r="DG44" i="30880" s="1"/>
  <c r="DH44" i="30880"/>
  <c r="DI44" i="30880" s="1"/>
  <c r="DJ44" i="30880"/>
  <c r="DK44" i="30880" s="1"/>
  <c r="DL44" i="30880"/>
  <c r="DM44" i="30880" s="1"/>
  <c r="DP44" i="30880"/>
  <c r="DQ44" i="30880" s="1"/>
  <c r="DR44" i="30880"/>
  <c r="DS44" i="30880" s="1"/>
  <c r="AT45" i="30880"/>
  <c r="AU45" i="30880" s="1"/>
  <c r="AV45" i="30880"/>
  <c r="AW45" i="30880" s="1"/>
  <c r="AX45" i="30880"/>
  <c r="AY45" i="30880" s="1"/>
  <c r="AZ45" i="30880"/>
  <c r="BA45" i="30880" s="1"/>
  <c r="BB45" i="30880"/>
  <c r="BC45" i="30880" s="1"/>
  <c r="BD45" i="30880"/>
  <c r="BE45" i="30880" s="1"/>
  <c r="BF45" i="30880"/>
  <c r="BG45" i="30880" s="1"/>
  <c r="BH45" i="30880"/>
  <c r="BI45" i="30880" s="1"/>
  <c r="BJ45" i="30880"/>
  <c r="BK45" i="30880" s="1"/>
  <c r="BL45" i="30880"/>
  <c r="BM45" i="30880" s="1"/>
  <c r="BN45" i="30880"/>
  <c r="BO45" i="30880" s="1"/>
  <c r="BP45" i="30880"/>
  <c r="BQ45" i="30880" s="1"/>
  <c r="BR45" i="30880"/>
  <c r="BS45" i="30880" s="1"/>
  <c r="BT45" i="30880"/>
  <c r="BU45" i="30880" s="1"/>
  <c r="BV45" i="30880"/>
  <c r="BW45" i="30880" s="1"/>
  <c r="BX45" i="30880"/>
  <c r="BY45" i="30880" s="1"/>
  <c r="BZ45" i="30880"/>
  <c r="CA45" i="30880" s="1"/>
  <c r="CB45" i="30880"/>
  <c r="CC45" i="30880" s="1"/>
  <c r="CD45" i="30880"/>
  <c r="CE45" i="30880" s="1"/>
  <c r="CF45" i="30880"/>
  <c r="CG45" i="30880" s="1"/>
  <c r="CH45" i="30880"/>
  <c r="CI45" i="30880" s="1"/>
  <c r="CJ45" i="30880"/>
  <c r="CK45" i="30880" s="1"/>
  <c r="CL45" i="30880"/>
  <c r="CM45" i="30880" s="1"/>
  <c r="CN45" i="30880"/>
  <c r="CO45" i="30880" s="1"/>
  <c r="CP45" i="30880"/>
  <c r="CQ45" i="30880" s="1"/>
  <c r="CR45" i="30880"/>
  <c r="CS45" i="30880" s="1"/>
  <c r="CT45" i="30880"/>
  <c r="CU45" i="30880" s="1"/>
  <c r="CV45" i="30880"/>
  <c r="CW45" i="30880" s="1"/>
  <c r="CX45" i="30880"/>
  <c r="CY45" i="30880" s="1"/>
  <c r="CZ45" i="30880"/>
  <c r="DA45" i="30880" s="1"/>
  <c r="DB45" i="30880"/>
  <c r="DC45" i="30880" s="1"/>
  <c r="DD45" i="30880"/>
  <c r="DE45" i="30880" s="1"/>
  <c r="DF45" i="30880"/>
  <c r="DG45" i="30880" s="1"/>
  <c r="DH45" i="30880"/>
  <c r="DI45" i="30880" s="1"/>
  <c r="DJ45" i="30880"/>
  <c r="DK45" i="30880" s="1"/>
  <c r="DL45" i="30880"/>
  <c r="DM45" i="30880" s="1"/>
  <c r="DP45" i="30880"/>
  <c r="DQ45" i="30880" s="1"/>
  <c r="DR45" i="30880"/>
  <c r="DS45" i="30880" s="1"/>
  <c r="AT46" i="30880"/>
  <c r="AU46" i="30880" s="1"/>
  <c r="AV46" i="30880"/>
  <c r="AW46" i="30880" s="1"/>
  <c r="AX46" i="30880"/>
  <c r="AY46" i="30880" s="1"/>
  <c r="AZ46" i="30880"/>
  <c r="BA46" i="30880" s="1"/>
  <c r="BB46" i="30880"/>
  <c r="BC46" i="30880" s="1"/>
  <c r="BD46" i="30880"/>
  <c r="BE46" i="30880" s="1"/>
  <c r="BF46" i="30880"/>
  <c r="BG46" i="30880" s="1"/>
  <c r="BH46" i="30880"/>
  <c r="BI46" i="30880" s="1"/>
  <c r="BJ46" i="30880"/>
  <c r="BK46" i="30880" s="1"/>
  <c r="BL46" i="30880"/>
  <c r="BM46" i="30880" s="1"/>
  <c r="BN46" i="30880"/>
  <c r="BO46" i="30880" s="1"/>
  <c r="BP46" i="30880"/>
  <c r="BQ46" i="30880" s="1"/>
  <c r="BR46" i="30880"/>
  <c r="BS46" i="30880" s="1"/>
  <c r="BT46" i="30880"/>
  <c r="BU46" i="30880" s="1"/>
  <c r="BV46" i="30880"/>
  <c r="BW46" i="30880" s="1"/>
  <c r="BX46" i="30880"/>
  <c r="BY46" i="30880" s="1"/>
  <c r="BZ46" i="30880"/>
  <c r="CA46" i="30880" s="1"/>
  <c r="CB46" i="30880"/>
  <c r="CC46" i="30880" s="1"/>
  <c r="CD46" i="30880"/>
  <c r="CE46" i="30880" s="1"/>
  <c r="CF46" i="30880"/>
  <c r="CG46" i="30880" s="1"/>
  <c r="CH46" i="30880"/>
  <c r="CI46" i="30880" s="1"/>
  <c r="CJ46" i="30880"/>
  <c r="CK46" i="30880" s="1"/>
  <c r="CL46" i="30880"/>
  <c r="CM46" i="30880" s="1"/>
  <c r="CN46" i="30880"/>
  <c r="CO46" i="30880" s="1"/>
  <c r="CP46" i="30880"/>
  <c r="CQ46" i="30880" s="1"/>
  <c r="CR46" i="30880"/>
  <c r="CS46" i="30880" s="1"/>
  <c r="CT46" i="30880"/>
  <c r="CU46" i="30880" s="1"/>
  <c r="CV46" i="30880"/>
  <c r="CW46" i="30880" s="1"/>
  <c r="CX46" i="30880"/>
  <c r="CY46" i="30880" s="1"/>
  <c r="CZ46" i="30880"/>
  <c r="DA46" i="30880" s="1"/>
  <c r="DB46" i="30880"/>
  <c r="DC46" i="30880" s="1"/>
  <c r="DD46" i="30880"/>
  <c r="DE46" i="30880" s="1"/>
  <c r="DF46" i="30880"/>
  <c r="DG46" i="30880" s="1"/>
  <c r="DH46" i="30880"/>
  <c r="DI46" i="30880" s="1"/>
  <c r="DJ46" i="30880"/>
  <c r="DK46" i="30880" s="1"/>
  <c r="DL46" i="30880"/>
  <c r="DM46" i="30880" s="1"/>
  <c r="DP46" i="30880"/>
  <c r="DQ46" i="30880" s="1"/>
  <c r="DR46" i="30880"/>
  <c r="DS46" i="30880" s="1"/>
  <c r="AT47" i="30880"/>
  <c r="AU47" i="30880" s="1"/>
  <c r="AV47" i="30880"/>
  <c r="AW47" i="30880" s="1"/>
  <c r="AX47" i="30880"/>
  <c r="AY47" i="30880" s="1"/>
  <c r="AZ47" i="30880"/>
  <c r="BA47" i="30880" s="1"/>
  <c r="BB47" i="30880"/>
  <c r="BC47" i="30880" s="1"/>
  <c r="BD47" i="30880"/>
  <c r="BE47" i="30880" s="1"/>
  <c r="BF47" i="30880"/>
  <c r="BG47" i="30880" s="1"/>
  <c r="BH47" i="30880"/>
  <c r="BI47" i="30880" s="1"/>
  <c r="BJ47" i="30880"/>
  <c r="BK47" i="30880" s="1"/>
  <c r="BL47" i="30880"/>
  <c r="BM47" i="30880" s="1"/>
  <c r="BN47" i="30880"/>
  <c r="BO47" i="30880" s="1"/>
  <c r="BP47" i="30880"/>
  <c r="BQ47" i="30880" s="1"/>
  <c r="BR47" i="30880"/>
  <c r="BS47" i="30880" s="1"/>
  <c r="BT47" i="30880"/>
  <c r="BU47" i="30880" s="1"/>
  <c r="BV47" i="30880"/>
  <c r="BW47" i="30880" s="1"/>
  <c r="BX47" i="30880"/>
  <c r="BY47" i="30880" s="1"/>
  <c r="BZ47" i="30880"/>
  <c r="CA47" i="30880" s="1"/>
  <c r="CB47" i="30880"/>
  <c r="CC47" i="30880" s="1"/>
  <c r="CD47" i="30880"/>
  <c r="CE47" i="30880" s="1"/>
  <c r="CF47" i="30880"/>
  <c r="CG47" i="30880" s="1"/>
  <c r="CH47" i="30880"/>
  <c r="CI47" i="30880" s="1"/>
  <c r="CJ47" i="30880"/>
  <c r="CK47" i="30880" s="1"/>
  <c r="CL47" i="30880"/>
  <c r="CM47" i="30880" s="1"/>
  <c r="CN47" i="30880"/>
  <c r="CO47" i="30880" s="1"/>
  <c r="CP47" i="30880"/>
  <c r="CQ47" i="30880" s="1"/>
  <c r="CR47" i="30880"/>
  <c r="CS47" i="30880" s="1"/>
  <c r="CT47" i="30880"/>
  <c r="CU47" i="30880" s="1"/>
  <c r="CV47" i="30880"/>
  <c r="CW47" i="30880" s="1"/>
  <c r="CX47" i="30880"/>
  <c r="CY47" i="30880" s="1"/>
  <c r="CZ47" i="30880"/>
  <c r="DA47" i="30880" s="1"/>
  <c r="DB47" i="30880"/>
  <c r="DC47" i="30880" s="1"/>
  <c r="DD47" i="30880"/>
  <c r="DE47" i="30880" s="1"/>
  <c r="DF47" i="30880"/>
  <c r="DG47" i="30880" s="1"/>
  <c r="DH47" i="30880"/>
  <c r="DI47" i="30880" s="1"/>
  <c r="DJ47" i="30880"/>
  <c r="DK47" i="30880" s="1"/>
  <c r="DL47" i="30880"/>
  <c r="DM47" i="30880" s="1"/>
  <c r="DP47" i="30880"/>
  <c r="DQ47" i="30880" s="1"/>
  <c r="DR47" i="30880"/>
  <c r="DS47" i="30880" s="1"/>
  <c r="AT48" i="30880"/>
  <c r="AU48" i="30880" s="1"/>
  <c r="AV48" i="30880"/>
  <c r="AW48" i="30880" s="1"/>
  <c r="AX48" i="30880"/>
  <c r="AY48" i="30880" s="1"/>
  <c r="AZ48" i="30880"/>
  <c r="BA48" i="30880" s="1"/>
  <c r="BB48" i="30880"/>
  <c r="BC48" i="30880" s="1"/>
  <c r="BD48" i="30880"/>
  <c r="BE48" i="30880" s="1"/>
  <c r="BF48" i="30880"/>
  <c r="BG48" i="30880" s="1"/>
  <c r="BH48" i="30880"/>
  <c r="BI48" i="30880" s="1"/>
  <c r="BJ48" i="30880"/>
  <c r="BK48" i="30880" s="1"/>
  <c r="BL48" i="30880"/>
  <c r="BM48" i="30880" s="1"/>
  <c r="BN48" i="30880"/>
  <c r="BO48" i="30880" s="1"/>
  <c r="BP48" i="30880"/>
  <c r="BQ48" i="30880" s="1"/>
  <c r="BR48" i="30880"/>
  <c r="BS48" i="30880" s="1"/>
  <c r="BT48" i="30880"/>
  <c r="BU48" i="30880" s="1"/>
  <c r="BV48" i="30880"/>
  <c r="BW48" i="30880" s="1"/>
  <c r="BX48" i="30880"/>
  <c r="BY48" i="30880" s="1"/>
  <c r="BZ48" i="30880"/>
  <c r="CA48" i="30880" s="1"/>
  <c r="CB48" i="30880"/>
  <c r="CC48" i="30880" s="1"/>
  <c r="CD48" i="30880"/>
  <c r="CE48" i="30880" s="1"/>
  <c r="CF48" i="30880"/>
  <c r="CG48" i="30880" s="1"/>
  <c r="CH48" i="30880"/>
  <c r="CI48" i="30880" s="1"/>
  <c r="CJ48" i="30880"/>
  <c r="CK48" i="30880" s="1"/>
  <c r="CL48" i="30880"/>
  <c r="CM48" i="30880" s="1"/>
  <c r="CN48" i="30880"/>
  <c r="CO48" i="30880" s="1"/>
  <c r="CP48" i="30880"/>
  <c r="CQ48" i="30880" s="1"/>
  <c r="CR48" i="30880"/>
  <c r="CS48" i="30880" s="1"/>
  <c r="CT48" i="30880"/>
  <c r="CU48" i="30880" s="1"/>
  <c r="CV48" i="30880"/>
  <c r="CW48" i="30880" s="1"/>
  <c r="CX48" i="30880"/>
  <c r="CY48" i="30880" s="1"/>
  <c r="CZ48" i="30880"/>
  <c r="DA48" i="30880" s="1"/>
  <c r="DB48" i="30880"/>
  <c r="DC48" i="30880" s="1"/>
  <c r="DD48" i="30880"/>
  <c r="DE48" i="30880" s="1"/>
  <c r="DF48" i="30880"/>
  <c r="DG48" i="30880" s="1"/>
  <c r="DH48" i="30880"/>
  <c r="DI48" i="30880" s="1"/>
  <c r="DJ48" i="30880"/>
  <c r="DK48" i="30880" s="1"/>
  <c r="DL48" i="30880"/>
  <c r="DM48" i="30880" s="1"/>
  <c r="DP48" i="30880"/>
  <c r="DQ48" i="30880" s="1"/>
  <c r="DR48" i="30880"/>
  <c r="DS48" i="30880" s="1"/>
  <c r="AT49" i="30880"/>
  <c r="AU49" i="30880" s="1"/>
  <c r="AV49" i="30880"/>
  <c r="AW49" i="30880" s="1"/>
  <c r="AX49" i="30880"/>
  <c r="AY49" i="30880" s="1"/>
  <c r="AZ49" i="30880"/>
  <c r="BA49" i="30880" s="1"/>
  <c r="BB49" i="30880"/>
  <c r="BC49" i="30880" s="1"/>
  <c r="BD49" i="30880"/>
  <c r="BE49" i="30880" s="1"/>
  <c r="BF49" i="30880"/>
  <c r="BG49" i="30880" s="1"/>
  <c r="BH49" i="30880"/>
  <c r="BI49" i="30880" s="1"/>
  <c r="BJ49" i="30880"/>
  <c r="BK49" i="30880" s="1"/>
  <c r="BL49" i="30880"/>
  <c r="BM49" i="30880" s="1"/>
  <c r="BN49" i="30880"/>
  <c r="BO49" i="30880" s="1"/>
  <c r="BP49" i="30880"/>
  <c r="BQ49" i="30880" s="1"/>
  <c r="BR49" i="30880"/>
  <c r="BS49" i="30880" s="1"/>
  <c r="BT49" i="30880"/>
  <c r="BU49" i="30880" s="1"/>
  <c r="BV49" i="30880"/>
  <c r="BW49" i="30880" s="1"/>
  <c r="BX49" i="30880"/>
  <c r="BY49" i="30880" s="1"/>
  <c r="BZ49" i="30880"/>
  <c r="CA49" i="30880" s="1"/>
  <c r="CB49" i="30880"/>
  <c r="CC49" i="30880" s="1"/>
  <c r="CD49" i="30880"/>
  <c r="CE49" i="30880" s="1"/>
  <c r="CF49" i="30880"/>
  <c r="CG49" i="30880" s="1"/>
  <c r="CH49" i="30880"/>
  <c r="CI49" i="30880" s="1"/>
  <c r="CJ49" i="30880"/>
  <c r="CK49" i="30880" s="1"/>
  <c r="CL49" i="30880"/>
  <c r="CM49" i="30880" s="1"/>
  <c r="CN49" i="30880"/>
  <c r="CO49" i="30880" s="1"/>
  <c r="CP49" i="30880"/>
  <c r="CQ49" i="30880" s="1"/>
  <c r="CR49" i="30880"/>
  <c r="CS49" i="30880" s="1"/>
  <c r="CT49" i="30880"/>
  <c r="CU49" i="30880" s="1"/>
  <c r="CV49" i="30880"/>
  <c r="CW49" i="30880" s="1"/>
  <c r="CX49" i="30880"/>
  <c r="CY49" i="30880" s="1"/>
  <c r="CZ49" i="30880"/>
  <c r="DA49" i="30880" s="1"/>
  <c r="DB49" i="30880"/>
  <c r="DC49" i="30880" s="1"/>
  <c r="DD49" i="30880"/>
  <c r="DE49" i="30880" s="1"/>
  <c r="DF49" i="30880"/>
  <c r="DG49" i="30880" s="1"/>
  <c r="DH49" i="30880"/>
  <c r="DI49" i="30880" s="1"/>
  <c r="DJ49" i="30880"/>
  <c r="DK49" i="30880" s="1"/>
  <c r="DL49" i="30880"/>
  <c r="DM49" i="30880" s="1"/>
  <c r="DP49" i="30880"/>
  <c r="DQ49" i="30880" s="1"/>
  <c r="DR49" i="30880"/>
  <c r="DS49" i="30880" s="1"/>
  <c r="AT50" i="30880"/>
  <c r="AU50" i="30880" s="1"/>
  <c r="AV50" i="30880"/>
  <c r="AW50" i="30880" s="1"/>
  <c r="AX50" i="30880"/>
  <c r="AY50" i="30880" s="1"/>
  <c r="AZ50" i="30880"/>
  <c r="BA50" i="30880" s="1"/>
  <c r="BB50" i="30880"/>
  <c r="BC50" i="30880" s="1"/>
  <c r="BD50" i="30880"/>
  <c r="BE50" i="30880" s="1"/>
  <c r="BF50" i="30880"/>
  <c r="BG50" i="30880" s="1"/>
  <c r="BH50" i="30880"/>
  <c r="BI50" i="30880" s="1"/>
  <c r="BJ50" i="30880"/>
  <c r="BK50" i="30880" s="1"/>
  <c r="BL50" i="30880"/>
  <c r="BM50" i="30880" s="1"/>
  <c r="BN50" i="30880"/>
  <c r="BO50" i="30880" s="1"/>
  <c r="BP50" i="30880"/>
  <c r="BQ50" i="30880" s="1"/>
  <c r="BR50" i="30880"/>
  <c r="BS50" i="30880" s="1"/>
  <c r="BT50" i="30880"/>
  <c r="BU50" i="30880" s="1"/>
  <c r="BV50" i="30880"/>
  <c r="BW50" i="30880" s="1"/>
  <c r="BX50" i="30880"/>
  <c r="BY50" i="30880" s="1"/>
  <c r="BZ50" i="30880"/>
  <c r="CA50" i="30880" s="1"/>
  <c r="CB50" i="30880"/>
  <c r="CC50" i="30880" s="1"/>
  <c r="CD50" i="30880"/>
  <c r="CE50" i="30880" s="1"/>
  <c r="CF50" i="30880"/>
  <c r="CG50" i="30880" s="1"/>
  <c r="CH50" i="30880"/>
  <c r="CI50" i="30880" s="1"/>
  <c r="CJ50" i="30880"/>
  <c r="CK50" i="30880" s="1"/>
  <c r="CL50" i="30880"/>
  <c r="CM50" i="30880" s="1"/>
  <c r="CN50" i="30880"/>
  <c r="CO50" i="30880" s="1"/>
  <c r="CP50" i="30880"/>
  <c r="CQ50" i="30880" s="1"/>
  <c r="CR50" i="30880"/>
  <c r="CS50" i="30880" s="1"/>
  <c r="CT50" i="30880"/>
  <c r="CU50" i="30880" s="1"/>
  <c r="CV50" i="30880"/>
  <c r="CW50" i="30880" s="1"/>
  <c r="CX50" i="30880"/>
  <c r="CY50" i="30880" s="1"/>
  <c r="CZ50" i="30880"/>
  <c r="DA50" i="30880" s="1"/>
  <c r="DB50" i="30880"/>
  <c r="DC50" i="30880" s="1"/>
  <c r="DD50" i="30880"/>
  <c r="DE50" i="30880" s="1"/>
  <c r="DF50" i="30880"/>
  <c r="DG50" i="30880" s="1"/>
  <c r="DH50" i="30880"/>
  <c r="DI50" i="30880" s="1"/>
  <c r="DJ50" i="30880"/>
  <c r="DK50" i="30880" s="1"/>
  <c r="DL50" i="30880"/>
  <c r="DM50" i="30880" s="1"/>
  <c r="DP50" i="30880"/>
  <c r="DQ50" i="30880" s="1"/>
  <c r="DR50" i="30880"/>
  <c r="DS50" i="30880" s="1"/>
  <c r="AT51" i="30880"/>
  <c r="AU51" i="30880" s="1"/>
  <c r="AV51" i="30880"/>
  <c r="AW51" i="30880" s="1"/>
  <c r="AX51" i="30880"/>
  <c r="AY51" i="30880" s="1"/>
  <c r="AZ51" i="30880"/>
  <c r="BA51" i="30880" s="1"/>
  <c r="BB51" i="30880"/>
  <c r="BC51" i="30880" s="1"/>
  <c r="BD51" i="30880"/>
  <c r="BE51" i="30880" s="1"/>
  <c r="BF51" i="30880"/>
  <c r="BG51" i="30880" s="1"/>
  <c r="BH51" i="30880"/>
  <c r="BI51" i="30880" s="1"/>
  <c r="BJ51" i="30880"/>
  <c r="BK51" i="30880" s="1"/>
  <c r="BL51" i="30880"/>
  <c r="BM51" i="30880" s="1"/>
  <c r="BN51" i="30880"/>
  <c r="BO51" i="30880" s="1"/>
  <c r="BP51" i="30880"/>
  <c r="BQ51" i="30880" s="1"/>
  <c r="BR51" i="30880"/>
  <c r="BS51" i="30880" s="1"/>
  <c r="BT51" i="30880"/>
  <c r="BU51" i="30880" s="1"/>
  <c r="BV51" i="30880"/>
  <c r="BW51" i="30880" s="1"/>
  <c r="BX51" i="30880"/>
  <c r="BY51" i="30880" s="1"/>
  <c r="BZ51" i="30880"/>
  <c r="CA51" i="30880" s="1"/>
  <c r="CB51" i="30880"/>
  <c r="CC51" i="30880" s="1"/>
  <c r="CD51" i="30880"/>
  <c r="CE51" i="30880" s="1"/>
  <c r="CF51" i="30880"/>
  <c r="CG51" i="30880" s="1"/>
  <c r="CH51" i="30880"/>
  <c r="CI51" i="30880" s="1"/>
  <c r="CJ51" i="30880"/>
  <c r="CK51" i="30880" s="1"/>
  <c r="CL51" i="30880"/>
  <c r="CM51" i="30880" s="1"/>
  <c r="CN51" i="30880"/>
  <c r="CO51" i="30880" s="1"/>
  <c r="CP51" i="30880"/>
  <c r="CQ51" i="30880" s="1"/>
  <c r="CR51" i="30880"/>
  <c r="CS51" i="30880" s="1"/>
  <c r="CT51" i="30880"/>
  <c r="CU51" i="30880" s="1"/>
  <c r="CV51" i="30880"/>
  <c r="CW51" i="30880" s="1"/>
  <c r="CX51" i="30880"/>
  <c r="CY51" i="30880" s="1"/>
  <c r="CZ51" i="30880"/>
  <c r="DA51" i="30880" s="1"/>
  <c r="DB51" i="30880"/>
  <c r="DC51" i="30880" s="1"/>
  <c r="DD51" i="30880"/>
  <c r="DE51" i="30880" s="1"/>
  <c r="DF51" i="30880"/>
  <c r="DG51" i="30880" s="1"/>
  <c r="DH51" i="30880"/>
  <c r="DI51" i="30880" s="1"/>
  <c r="DJ51" i="30880"/>
  <c r="DK51" i="30880" s="1"/>
  <c r="DL51" i="30880"/>
  <c r="DM51" i="30880" s="1"/>
  <c r="DP51" i="30880"/>
  <c r="DQ51" i="30880" s="1"/>
  <c r="DR51" i="30880"/>
  <c r="DS51" i="30880" s="1"/>
  <c r="AT52" i="30880"/>
  <c r="AU52" i="30880" s="1"/>
  <c r="AV52" i="30880"/>
  <c r="AW52" i="30880" s="1"/>
  <c r="AX52" i="30880"/>
  <c r="AY52" i="30880" s="1"/>
  <c r="AZ52" i="30880"/>
  <c r="BA52" i="30880" s="1"/>
  <c r="BB52" i="30880"/>
  <c r="BC52" i="30880" s="1"/>
  <c r="BD52" i="30880"/>
  <c r="BE52" i="30880" s="1"/>
  <c r="BF52" i="30880"/>
  <c r="BG52" i="30880" s="1"/>
  <c r="BH52" i="30880"/>
  <c r="BI52" i="30880" s="1"/>
  <c r="BJ52" i="30880"/>
  <c r="BK52" i="30880" s="1"/>
  <c r="BL52" i="30880"/>
  <c r="BM52" i="30880" s="1"/>
  <c r="BN52" i="30880"/>
  <c r="BO52" i="30880" s="1"/>
  <c r="BP52" i="30880"/>
  <c r="BQ52" i="30880" s="1"/>
  <c r="BR52" i="30880"/>
  <c r="BS52" i="30880" s="1"/>
  <c r="BT52" i="30880"/>
  <c r="BU52" i="30880" s="1"/>
  <c r="BV52" i="30880"/>
  <c r="BW52" i="30880" s="1"/>
  <c r="BX52" i="30880"/>
  <c r="BY52" i="30880" s="1"/>
  <c r="BZ52" i="30880"/>
  <c r="CA52" i="30880" s="1"/>
  <c r="CB52" i="30880"/>
  <c r="CC52" i="30880" s="1"/>
  <c r="CD52" i="30880"/>
  <c r="CE52" i="30880" s="1"/>
  <c r="CF52" i="30880"/>
  <c r="CG52" i="30880" s="1"/>
  <c r="CH52" i="30880"/>
  <c r="CI52" i="30880" s="1"/>
  <c r="CJ52" i="30880"/>
  <c r="CK52" i="30880" s="1"/>
  <c r="CL52" i="30880"/>
  <c r="CM52" i="30880" s="1"/>
  <c r="CN52" i="30880"/>
  <c r="CO52" i="30880" s="1"/>
  <c r="CP52" i="30880"/>
  <c r="CQ52" i="30880" s="1"/>
  <c r="CR52" i="30880"/>
  <c r="CS52" i="30880" s="1"/>
  <c r="CT52" i="30880"/>
  <c r="CU52" i="30880" s="1"/>
  <c r="CV52" i="30880"/>
  <c r="CW52" i="30880" s="1"/>
  <c r="CX52" i="30880"/>
  <c r="CY52" i="30880" s="1"/>
  <c r="CZ52" i="30880"/>
  <c r="DA52" i="30880" s="1"/>
  <c r="DB52" i="30880"/>
  <c r="DC52" i="30880" s="1"/>
  <c r="DD52" i="30880"/>
  <c r="DE52" i="30880" s="1"/>
  <c r="DF52" i="30880"/>
  <c r="DG52" i="30880" s="1"/>
  <c r="DH52" i="30880"/>
  <c r="DI52" i="30880" s="1"/>
  <c r="DJ52" i="30880"/>
  <c r="DK52" i="30880" s="1"/>
  <c r="DL52" i="30880"/>
  <c r="DM52" i="30880" s="1"/>
  <c r="DP52" i="30880"/>
  <c r="DQ52" i="30880" s="1"/>
  <c r="DR52" i="30880"/>
  <c r="DS52" i="30880" s="1"/>
  <c r="AT53" i="30880"/>
  <c r="AU53" i="30880" s="1"/>
  <c r="AV53" i="30880"/>
  <c r="AW53" i="30880" s="1"/>
  <c r="AX53" i="30880"/>
  <c r="AY53" i="30880" s="1"/>
  <c r="AZ53" i="30880"/>
  <c r="BA53" i="30880" s="1"/>
  <c r="BB53" i="30880"/>
  <c r="BC53" i="30880" s="1"/>
  <c r="BD53" i="30880"/>
  <c r="BE53" i="30880" s="1"/>
  <c r="BF53" i="30880"/>
  <c r="BG53" i="30880" s="1"/>
  <c r="BH53" i="30880"/>
  <c r="BI53" i="30880" s="1"/>
  <c r="BJ53" i="30880"/>
  <c r="BK53" i="30880" s="1"/>
  <c r="BL53" i="30880"/>
  <c r="BM53" i="30880" s="1"/>
  <c r="BN53" i="30880"/>
  <c r="BO53" i="30880" s="1"/>
  <c r="BP53" i="30880"/>
  <c r="BQ53" i="30880" s="1"/>
  <c r="BR53" i="30880"/>
  <c r="BS53" i="30880" s="1"/>
  <c r="BT53" i="30880"/>
  <c r="BU53" i="30880" s="1"/>
  <c r="BV53" i="30880"/>
  <c r="BW53" i="30880" s="1"/>
  <c r="BX53" i="30880"/>
  <c r="BY53" i="30880" s="1"/>
  <c r="BZ53" i="30880"/>
  <c r="CA53" i="30880" s="1"/>
  <c r="CB53" i="30880"/>
  <c r="CC53" i="30880" s="1"/>
  <c r="CD53" i="30880"/>
  <c r="CE53" i="30880" s="1"/>
  <c r="CF53" i="30880"/>
  <c r="CG53" i="30880" s="1"/>
  <c r="CH53" i="30880"/>
  <c r="CI53" i="30880" s="1"/>
  <c r="CJ53" i="30880"/>
  <c r="CK53" i="30880" s="1"/>
  <c r="CL53" i="30880"/>
  <c r="CM53" i="30880" s="1"/>
  <c r="CN53" i="30880"/>
  <c r="CO53" i="30880" s="1"/>
  <c r="CP53" i="30880"/>
  <c r="CQ53" i="30880" s="1"/>
  <c r="CR53" i="30880"/>
  <c r="CS53" i="30880" s="1"/>
  <c r="CT53" i="30880"/>
  <c r="CU53" i="30880" s="1"/>
  <c r="CV53" i="30880"/>
  <c r="CW53" i="30880" s="1"/>
  <c r="CX53" i="30880"/>
  <c r="CY53" i="30880" s="1"/>
  <c r="CZ53" i="30880"/>
  <c r="DA53" i="30880" s="1"/>
  <c r="DB53" i="30880"/>
  <c r="DC53" i="30880" s="1"/>
  <c r="DD53" i="30880"/>
  <c r="DE53" i="30880" s="1"/>
  <c r="DF53" i="30880"/>
  <c r="DG53" i="30880" s="1"/>
  <c r="DH53" i="30880"/>
  <c r="DI53" i="30880" s="1"/>
  <c r="DJ53" i="30880"/>
  <c r="DK53" i="30880" s="1"/>
  <c r="DL53" i="30880"/>
  <c r="DM53" i="30880" s="1"/>
  <c r="DP53" i="30880"/>
  <c r="DQ53" i="30880" s="1"/>
  <c r="DR53" i="30880"/>
  <c r="DS53" i="30880" s="1"/>
  <c r="AT54" i="30880"/>
  <c r="AU54" i="30880" s="1"/>
  <c r="AV54" i="30880"/>
  <c r="AW54" i="30880" s="1"/>
  <c r="AX54" i="30880"/>
  <c r="AY54" i="30880" s="1"/>
  <c r="AZ54" i="30880"/>
  <c r="BA54" i="30880" s="1"/>
  <c r="BB54" i="30880"/>
  <c r="BC54" i="30880" s="1"/>
  <c r="BD54" i="30880"/>
  <c r="BE54" i="30880" s="1"/>
  <c r="BF54" i="30880"/>
  <c r="BG54" i="30880" s="1"/>
  <c r="BH54" i="30880"/>
  <c r="BI54" i="30880" s="1"/>
  <c r="BJ54" i="30880"/>
  <c r="BK54" i="30880" s="1"/>
  <c r="BL54" i="30880"/>
  <c r="BM54" i="30880" s="1"/>
  <c r="BN54" i="30880"/>
  <c r="BO54" i="30880" s="1"/>
  <c r="BP54" i="30880"/>
  <c r="BQ54" i="30880" s="1"/>
  <c r="BR54" i="30880"/>
  <c r="BS54" i="30880" s="1"/>
  <c r="BT54" i="30880"/>
  <c r="BU54" i="30880" s="1"/>
  <c r="BV54" i="30880"/>
  <c r="BW54" i="30880" s="1"/>
  <c r="BX54" i="30880"/>
  <c r="BY54" i="30880" s="1"/>
  <c r="BZ54" i="30880"/>
  <c r="CA54" i="30880" s="1"/>
  <c r="CB54" i="30880"/>
  <c r="CC54" i="30880" s="1"/>
  <c r="CD54" i="30880"/>
  <c r="CE54" i="30880" s="1"/>
  <c r="CF54" i="30880"/>
  <c r="CG54" i="30880" s="1"/>
  <c r="CH54" i="30880"/>
  <c r="CI54" i="30880" s="1"/>
  <c r="CJ54" i="30880"/>
  <c r="CK54" i="30880" s="1"/>
  <c r="CL54" i="30880"/>
  <c r="CM54" i="30880" s="1"/>
  <c r="CN54" i="30880"/>
  <c r="CO54" i="30880" s="1"/>
  <c r="CP54" i="30880"/>
  <c r="CQ54" i="30880" s="1"/>
  <c r="CR54" i="30880"/>
  <c r="CS54" i="30880" s="1"/>
  <c r="CT54" i="30880"/>
  <c r="CU54" i="30880" s="1"/>
  <c r="CV54" i="30880"/>
  <c r="CW54" i="30880" s="1"/>
  <c r="CX54" i="30880"/>
  <c r="CY54" i="30880" s="1"/>
  <c r="CZ54" i="30880"/>
  <c r="DA54" i="30880" s="1"/>
  <c r="DB54" i="30880"/>
  <c r="DC54" i="30880" s="1"/>
  <c r="DD54" i="30880"/>
  <c r="DE54" i="30880" s="1"/>
  <c r="DF54" i="30880"/>
  <c r="DG54" i="30880" s="1"/>
  <c r="DH54" i="30880"/>
  <c r="DI54" i="30880" s="1"/>
  <c r="DJ54" i="30880"/>
  <c r="DK54" i="30880" s="1"/>
  <c r="DL54" i="30880"/>
  <c r="DM54" i="30880" s="1"/>
  <c r="DP54" i="30880"/>
  <c r="DQ54" i="30880" s="1"/>
  <c r="DR54" i="30880"/>
  <c r="DS54" i="30880" s="1"/>
  <c r="AT55" i="30880"/>
  <c r="AU55" i="30880" s="1"/>
  <c r="AV55" i="30880"/>
  <c r="AW55" i="30880" s="1"/>
  <c r="AX55" i="30880"/>
  <c r="AY55" i="30880" s="1"/>
  <c r="AZ55" i="30880"/>
  <c r="BA55" i="30880" s="1"/>
  <c r="BB55" i="30880"/>
  <c r="BC55" i="30880" s="1"/>
  <c r="BD55" i="30880"/>
  <c r="BE55" i="30880" s="1"/>
  <c r="BF55" i="30880"/>
  <c r="BG55" i="30880" s="1"/>
  <c r="BH55" i="30880"/>
  <c r="BI55" i="30880" s="1"/>
  <c r="BJ55" i="30880"/>
  <c r="BK55" i="30880" s="1"/>
  <c r="BL55" i="30880"/>
  <c r="BM55" i="30880" s="1"/>
  <c r="BN55" i="30880"/>
  <c r="BO55" i="30880" s="1"/>
  <c r="BP55" i="30880"/>
  <c r="BQ55" i="30880" s="1"/>
  <c r="BR55" i="30880"/>
  <c r="BS55" i="30880" s="1"/>
  <c r="BT55" i="30880"/>
  <c r="BU55" i="30880" s="1"/>
  <c r="BV55" i="30880"/>
  <c r="BW55" i="30880" s="1"/>
  <c r="BX55" i="30880"/>
  <c r="BY55" i="30880" s="1"/>
  <c r="BZ55" i="30880"/>
  <c r="CA55" i="30880" s="1"/>
  <c r="CB55" i="30880"/>
  <c r="CC55" i="30880" s="1"/>
  <c r="CD55" i="30880"/>
  <c r="CE55" i="30880" s="1"/>
  <c r="CF55" i="30880"/>
  <c r="CG55" i="30880" s="1"/>
  <c r="CH55" i="30880"/>
  <c r="CI55" i="30880" s="1"/>
  <c r="CJ55" i="30880"/>
  <c r="CK55" i="30880" s="1"/>
  <c r="CL55" i="30880"/>
  <c r="CM55" i="30880" s="1"/>
  <c r="CN55" i="30880"/>
  <c r="CO55" i="30880" s="1"/>
  <c r="CP55" i="30880"/>
  <c r="CQ55" i="30880" s="1"/>
  <c r="CR55" i="30880"/>
  <c r="CS55" i="30880" s="1"/>
  <c r="CT55" i="30880"/>
  <c r="CU55" i="30880" s="1"/>
  <c r="CV55" i="30880"/>
  <c r="CW55" i="30880" s="1"/>
  <c r="CX55" i="30880"/>
  <c r="CY55" i="30880" s="1"/>
  <c r="CZ55" i="30880"/>
  <c r="DA55" i="30880" s="1"/>
  <c r="DB55" i="30880"/>
  <c r="DC55" i="30880" s="1"/>
  <c r="DD55" i="30880"/>
  <c r="DE55" i="30880" s="1"/>
  <c r="DF55" i="30880"/>
  <c r="DG55" i="30880" s="1"/>
  <c r="DH55" i="30880"/>
  <c r="DI55" i="30880" s="1"/>
  <c r="DJ55" i="30880"/>
  <c r="DK55" i="30880" s="1"/>
  <c r="DL55" i="30880"/>
  <c r="DM55" i="30880" s="1"/>
  <c r="DP55" i="30880"/>
  <c r="DQ55" i="30880" s="1"/>
  <c r="DR55" i="30880"/>
  <c r="DS55" i="30880" s="1"/>
  <c r="AT56" i="30880"/>
  <c r="AU56" i="30880" s="1"/>
  <c r="AV56" i="30880"/>
  <c r="AW56" i="30880" s="1"/>
  <c r="AX56" i="30880"/>
  <c r="AY56" i="30880" s="1"/>
  <c r="AZ56" i="30880"/>
  <c r="BA56" i="30880" s="1"/>
  <c r="BB56" i="30880"/>
  <c r="BC56" i="30880" s="1"/>
  <c r="BD56" i="30880"/>
  <c r="BE56" i="30880" s="1"/>
  <c r="BF56" i="30880"/>
  <c r="BG56" i="30880" s="1"/>
  <c r="BH56" i="30880"/>
  <c r="BI56" i="30880" s="1"/>
  <c r="BJ56" i="30880"/>
  <c r="BK56" i="30880" s="1"/>
  <c r="BL56" i="30880"/>
  <c r="BM56" i="30880" s="1"/>
  <c r="BN56" i="30880"/>
  <c r="BO56" i="30880" s="1"/>
  <c r="BP56" i="30880"/>
  <c r="BQ56" i="30880" s="1"/>
  <c r="BR56" i="30880"/>
  <c r="BS56" i="30880" s="1"/>
  <c r="BT56" i="30880"/>
  <c r="BU56" i="30880" s="1"/>
  <c r="BV56" i="30880"/>
  <c r="BW56" i="30880" s="1"/>
  <c r="BX56" i="30880"/>
  <c r="BY56" i="30880" s="1"/>
  <c r="BZ56" i="30880"/>
  <c r="CA56" i="30880" s="1"/>
  <c r="CB56" i="30880"/>
  <c r="CC56" i="30880" s="1"/>
  <c r="CD56" i="30880"/>
  <c r="CE56" i="30880" s="1"/>
  <c r="CF56" i="30880"/>
  <c r="CG56" i="30880" s="1"/>
  <c r="CH56" i="30880"/>
  <c r="CI56" i="30880" s="1"/>
  <c r="CJ56" i="30880"/>
  <c r="CK56" i="30880" s="1"/>
  <c r="CL56" i="30880"/>
  <c r="CM56" i="30880" s="1"/>
  <c r="CN56" i="30880"/>
  <c r="CO56" i="30880" s="1"/>
  <c r="CP56" i="30880"/>
  <c r="CQ56" i="30880" s="1"/>
  <c r="CR56" i="30880"/>
  <c r="CS56" i="30880" s="1"/>
  <c r="CT56" i="30880"/>
  <c r="CU56" i="30880" s="1"/>
  <c r="CV56" i="30880"/>
  <c r="CW56" i="30880" s="1"/>
  <c r="CX56" i="30880"/>
  <c r="CY56" i="30880" s="1"/>
  <c r="CZ56" i="30880"/>
  <c r="DA56" i="30880" s="1"/>
  <c r="DB56" i="30880"/>
  <c r="DC56" i="30880" s="1"/>
  <c r="DD56" i="30880"/>
  <c r="DE56" i="30880" s="1"/>
  <c r="DF56" i="30880"/>
  <c r="DG56" i="30880" s="1"/>
  <c r="DH56" i="30880"/>
  <c r="DI56" i="30880" s="1"/>
  <c r="DJ56" i="30880"/>
  <c r="DK56" i="30880" s="1"/>
  <c r="DL56" i="30880"/>
  <c r="DM56" i="30880" s="1"/>
  <c r="DP56" i="30880"/>
  <c r="DQ56" i="30880" s="1"/>
  <c r="DR56" i="30880"/>
  <c r="DS56" i="30880" s="1"/>
  <c r="AT57" i="30880"/>
  <c r="AU57" i="30880" s="1"/>
  <c r="AV57" i="30880"/>
  <c r="AW57" i="30880" s="1"/>
  <c r="AX57" i="30880"/>
  <c r="AY57" i="30880" s="1"/>
  <c r="AZ57" i="30880"/>
  <c r="BA57" i="30880" s="1"/>
  <c r="BB57" i="30880"/>
  <c r="BC57" i="30880" s="1"/>
  <c r="BD57" i="30880"/>
  <c r="BE57" i="30880" s="1"/>
  <c r="BF57" i="30880"/>
  <c r="BG57" i="30880" s="1"/>
  <c r="BH57" i="30880"/>
  <c r="BI57" i="30880" s="1"/>
  <c r="BJ57" i="30880"/>
  <c r="BK57" i="30880" s="1"/>
  <c r="BL57" i="30880"/>
  <c r="BM57" i="30880" s="1"/>
  <c r="BN57" i="30880"/>
  <c r="BO57" i="30880" s="1"/>
  <c r="BP57" i="30880"/>
  <c r="BQ57" i="30880" s="1"/>
  <c r="BR57" i="30880"/>
  <c r="BS57" i="30880" s="1"/>
  <c r="BT57" i="30880"/>
  <c r="BU57" i="30880" s="1"/>
  <c r="BV57" i="30880"/>
  <c r="BW57" i="30880" s="1"/>
  <c r="BX57" i="30880"/>
  <c r="BY57" i="30880" s="1"/>
  <c r="BZ57" i="30880"/>
  <c r="CA57" i="30880" s="1"/>
  <c r="CB57" i="30880"/>
  <c r="CC57" i="30880" s="1"/>
  <c r="CD57" i="30880"/>
  <c r="CE57" i="30880" s="1"/>
  <c r="CF57" i="30880"/>
  <c r="CG57" i="30880" s="1"/>
  <c r="CH57" i="30880"/>
  <c r="CI57" i="30880" s="1"/>
  <c r="CJ57" i="30880"/>
  <c r="CK57" i="30880" s="1"/>
  <c r="CL57" i="30880"/>
  <c r="CM57" i="30880" s="1"/>
  <c r="CN57" i="30880"/>
  <c r="CO57" i="30880" s="1"/>
  <c r="CP57" i="30880"/>
  <c r="CQ57" i="30880" s="1"/>
  <c r="CR57" i="30880"/>
  <c r="CS57" i="30880" s="1"/>
  <c r="CT57" i="30880"/>
  <c r="CU57" i="30880" s="1"/>
  <c r="CV57" i="30880"/>
  <c r="CW57" i="30880" s="1"/>
  <c r="CX57" i="30880"/>
  <c r="CY57" i="30880" s="1"/>
  <c r="CZ57" i="30880"/>
  <c r="DA57" i="30880" s="1"/>
  <c r="DB57" i="30880"/>
  <c r="DC57" i="30880" s="1"/>
  <c r="DD57" i="30880"/>
  <c r="DE57" i="30880" s="1"/>
  <c r="DF57" i="30880"/>
  <c r="DG57" i="30880" s="1"/>
  <c r="DH57" i="30880"/>
  <c r="DI57" i="30880" s="1"/>
  <c r="DJ57" i="30880"/>
  <c r="DK57" i="30880" s="1"/>
  <c r="DL57" i="30880"/>
  <c r="DM57" i="30880" s="1"/>
  <c r="DP57" i="30880"/>
  <c r="DQ57" i="30880" s="1"/>
  <c r="DR57" i="30880"/>
  <c r="DS57" i="30880" s="1"/>
  <c r="AT58" i="30880"/>
  <c r="AU58" i="30880" s="1"/>
  <c r="AV58" i="30880"/>
  <c r="AW58" i="30880" s="1"/>
  <c r="AX58" i="30880"/>
  <c r="AY58" i="30880" s="1"/>
  <c r="AZ58" i="30880"/>
  <c r="BA58" i="30880" s="1"/>
  <c r="BB58" i="30880"/>
  <c r="BC58" i="30880" s="1"/>
  <c r="BD58" i="30880"/>
  <c r="BE58" i="30880" s="1"/>
  <c r="BF58" i="30880"/>
  <c r="BG58" i="30880" s="1"/>
  <c r="BH58" i="30880"/>
  <c r="BI58" i="30880" s="1"/>
  <c r="BJ58" i="30880"/>
  <c r="BK58" i="30880" s="1"/>
  <c r="BL58" i="30880"/>
  <c r="BM58" i="30880" s="1"/>
  <c r="BN58" i="30880"/>
  <c r="BO58" i="30880" s="1"/>
  <c r="BP58" i="30880"/>
  <c r="BQ58" i="30880" s="1"/>
  <c r="BR58" i="30880"/>
  <c r="BS58" i="30880" s="1"/>
  <c r="BT58" i="30880"/>
  <c r="BU58" i="30880" s="1"/>
  <c r="BV58" i="30880"/>
  <c r="BW58" i="30880" s="1"/>
  <c r="BX58" i="30880"/>
  <c r="BY58" i="30880" s="1"/>
  <c r="BZ58" i="30880"/>
  <c r="CA58" i="30880" s="1"/>
  <c r="CB58" i="30880"/>
  <c r="CC58" i="30880" s="1"/>
  <c r="CD58" i="30880"/>
  <c r="CE58" i="30880" s="1"/>
  <c r="CF58" i="30880"/>
  <c r="CG58" i="30880" s="1"/>
  <c r="CH58" i="30880"/>
  <c r="CI58" i="30880" s="1"/>
  <c r="CJ58" i="30880"/>
  <c r="CK58" i="30880" s="1"/>
  <c r="CL58" i="30880"/>
  <c r="CM58" i="30880" s="1"/>
  <c r="CN58" i="30880"/>
  <c r="CO58" i="30880" s="1"/>
  <c r="CP58" i="30880"/>
  <c r="CQ58" i="30880" s="1"/>
  <c r="CR58" i="30880"/>
  <c r="CS58" i="30880" s="1"/>
  <c r="CT58" i="30880"/>
  <c r="CU58" i="30880" s="1"/>
  <c r="CV58" i="30880"/>
  <c r="CW58" i="30880" s="1"/>
  <c r="CX58" i="30880"/>
  <c r="CY58" i="30880" s="1"/>
  <c r="CZ58" i="30880"/>
  <c r="DA58" i="30880" s="1"/>
  <c r="DB58" i="30880"/>
  <c r="DC58" i="30880" s="1"/>
  <c r="DD58" i="30880"/>
  <c r="DE58" i="30880" s="1"/>
  <c r="DF58" i="30880"/>
  <c r="DG58" i="30880" s="1"/>
  <c r="DH58" i="30880"/>
  <c r="DI58" i="30880" s="1"/>
  <c r="DJ58" i="30880"/>
  <c r="DK58" i="30880" s="1"/>
  <c r="DL58" i="30880"/>
  <c r="DM58" i="30880" s="1"/>
  <c r="DP58" i="30880"/>
  <c r="DQ58" i="30880" s="1"/>
  <c r="DR58" i="30880"/>
  <c r="DS58" i="30880" s="1"/>
  <c r="AT59" i="30880"/>
  <c r="AU59" i="30880" s="1"/>
  <c r="AV59" i="30880"/>
  <c r="AW59" i="30880" s="1"/>
  <c r="AX59" i="30880"/>
  <c r="AY59" i="30880" s="1"/>
  <c r="AZ59" i="30880"/>
  <c r="BA59" i="30880" s="1"/>
  <c r="BB59" i="30880"/>
  <c r="BC59" i="30880" s="1"/>
  <c r="BD59" i="30880"/>
  <c r="BE59" i="30880" s="1"/>
  <c r="BF59" i="30880"/>
  <c r="BG59" i="30880" s="1"/>
  <c r="BH59" i="30880"/>
  <c r="BI59" i="30880" s="1"/>
  <c r="BJ59" i="30880"/>
  <c r="BK59" i="30880" s="1"/>
  <c r="BL59" i="30880"/>
  <c r="BM59" i="30880" s="1"/>
  <c r="BN59" i="30880"/>
  <c r="BO59" i="30880" s="1"/>
  <c r="BP59" i="30880"/>
  <c r="BQ59" i="30880" s="1"/>
  <c r="BR59" i="30880"/>
  <c r="BS59" i="30880" s="1"/>
  <c r="BT59" i="30880"/>
  <c r="BU59" i="30880" s="1"/>
  <c r="BV59" i="30880"/>
  <c r="BW59" i="30880" s="1"/>
  <c r="BX59" i="30880"/>
  <c r="BY59" i="30880" s="1"/>
  <c r="BZ59" i="30880"/>
  <c r="CA59" i="30880" s="1"/>
  <c r="CB59" i="30880"/>
  <c r="CC59" i="30880" s="1"/>
  <c r="CD59" i="30880"/>
  <c r="CE59" i="30880" s="1"/>
  <c r="CF59" i="30880"/>
  <c r="CG59" i="30880" s="1"/>
  <c r="CH59" i="30880"/>
  <c r="CI59" i="30880" s="1"/>
  <c r="CJ59" i="30880"/>
  <c r="CK59" i="30880" s="1"/>
  <c r="CL59" i="30880"/>
  <c r="CM59" i="30880" s="1"/>
  <c r="CN59" i="30880"/>
  <c r="CO59" i="30880" s="1"/>
  <c r="CP59" i="30880"/>
  <c r="CQ59" i="30880" s="1"/>
  <c r="CR59" i="30880"/>
  <c r="CS59" i="30880" s="1"/>
  <c r="CT59" i="30880"/>
  <c r="CU59" i="30880" s="1"/>
  <c r="CV59" i="30880"/>
  <c r="CW59" i="30880" s="1"/>
  <c r="CX59" i="30880"/>
  <c r="CY59" i="30880" s="1"/>
  <c r="CZ59" i="30880"/>
  <c r="DA59" i="30880" s="1"/>
  <c r="DB59" i="30880"/>
  <c r="DC59" i="30880" s="1"/>
  <c r="DD59" i="30880"/>
  <c r="DE59" i="30880" s="1"/>
  <c r="DF59" i="30880"/>
  <c r="DG59" i="30880" s="1"/>
  <c r="DH59" i="30880"/>
  <c r="DI59" i="30880" s="1"/>
  <c r="DJ59" i="30880"/>
  <c r="DK59" i="30880" s="1"/>
  <c r="DL59" i="30880"/>
  <c r="DM59" i="30880" s="1"/>
  <c r="DP59" i="30880"/>
  <c r="DQ59" i="30880" s="1"/>
  <c r="DR59" i="30880"/>
  <c r="DS59" i="30880" s="1"/>
  <c r="AT60" i="30880"/>
  <c r="AU60" i="30880" s="1"/>
  <c r="AV60" i="30880"/>
  <c r="AW60" i="30880" s="1"/>
  <c r="AX60" i="30880"/>
  <c r="AY60" i="30880" s="1"/>
  <c r="AZ60" i="30880"/>
  <c r="BA60" i="30880" s="1"/>
  <c r="BB60" i="30880"/>
  <c r="BC60" i="30880" s="1"/>
  <c r="BD60" i="30880"/>
  <c r="BE60" i="30880" s="1"/>
  <c r="BF60" i="30880"/>
  <c r="BG60" i="30880" s="1"/>
  <c r="BH60" i="30880"/>
  <c r="BI60" i="30880" s="1"/>
  <c r="BJ60" i="30880"/>
  <c r="BK60" i="30880" s="1"/>
  <c r="BL60" i="30880"/>
  <c r="BM60" i="30880" s="1"/>
  <c r="BN60" i="30880"/>
  <c r="BO60" i="30880" s="1"/>
  <c r="BP60" i="30880"/>
  <c r="BQ60" i="30880" s="1"/>
  <c r="BR60" i="30880"/>
  <c r="BS60" i="30880" s="1"/>
  <c r="BT60" i="30880"/>
  <c r="BU60" i="30880" s="1"/>
  <c r="BV60" i="30880"/>
  <c r="BW60" i="30880" s="1"/>
  <c r="BX60" i="30880"/>
  <c r="BY60" i="30880" s="1"/>
  <c r="BZ60" i="30880"/>
  <c r="CA60" i="30880" s="1"/>
  <c r="CB60" i="30880"/>
  <c r="CC60" i="30880" s="1"/>
  <c r="CD60" i="30880"/>
  <c r="CE60" i="30880" s="1"/>
  <c r="CF60" i="30880"/>
  <c r="CG60" i="30880" s="1"/>
  <c r="CH60" i="30880"/>
  <c r="CI60" i="30880" s="1"/>
  <c r="CJ60" i="30880"/>
  <c r="CK60" i="30880" s="1"/>
  <c r="CL60" i="30880"/>
  <c r="CM60" i="30880" s="1"/>
  <c r="CN60" i="30880"/>
  <c r="CO60" i="30880" s="1"/>
  <c r="CP60" i="30880"/>
  <c r="CQ60" i="30880" s="1"/>
  <c r="CR60" i="30880"/>
  <c r="CS60" i="30880" s="1"/>
  <c r="CT60" i="30880"/>
  <c r="CU60" i="30880" s="1"/>
  <c r="CV60" i="30880"/>
  <c r="CW60" i="30880" s="1"/>
  <c r="CX60" i="30880"/>
  <c r="CY60" i="30880" s="1"/>
  <c r="CZ60" i="30880"/>
  <c r="DA60" i="30880" s="1"/>
  <c r="DB60" i="30880"/>
  <c r="DC60" i="30880" s="1"/>
  <c r="DD60" i="30880"/>
  <c r="DE60" i="30880" s="1"/>
  <c r="DF60" i="30880"/>
  <c r="DG60" i="30880" s="1"/>
  <c r="DH60" i="30880"/>
  <c r="DI60" i="30880" s="1"/>
  <c r="DJ60" i="30880"/>
  <c r="DK60" i="30880" s="1"/>
  <c r="DL60" i="30880"/>
  <c r="DM60" i="30880" s="1"/>
  <c r="DP60" i="30880"/>
  <c r="DQ60" i="30880" s="1"/>
  <c r="DR60" i="30880"/>
  <c r="DS60" i="30880" s="1"/>
  <c r="AT61" i="30880"/>
  <c r="AU61" i="30880" s="1"/>
  <c r="AV61" i="30880"/>
  <c r="AW61" i="30880" s="1"/>
  <c r="AX61" i="30880"/>
  <c r="AY61" i="30880" s="1"/>
  <c r="AZ61" i="30880"/>
  <c r="BA61" i="30880" s="1"/>
  <c r="BB61" i="30880"/>
  <c r="BC61" i="30880" s="1"/>
  <c r="BD61" i="30880"/>
  <c r="BE61" i="30880" s="1"/>
  <c r="BF61" i="30880"/>
  <c r="BG61" i="30880" s="1"/>
  <c r="BH61" i="30880"/>
  <c r="BI61" i="30880" s="1"/>
  <c r="BJ61" i="30880"/>
  <c r="BK61" i="30880" s="1"/>
  <c r="BL61" i="30880"/>
  <c r="BM61" i="30880" s="1"/>
  <c r="BN61" i="30880"/>
  <c r="BO61" i="30880" s="1"/>
  <c r="BP61" i="30880"/>
  <c r="BQ61" i="30880" s="1"/>
  <c r="BR61" i="30880"/>
  <c r="BS61" i="30880" s="1"/>
  <c r="BT61" i="30880"/>
  <c r="BU61" i="30880" s="1"/>
  <c r="BV61" i="30880"/>
  <c r="BW61" i="30880" s="1"/>
  <c r="BX61" i="30880"/>
  <c r="BY61" i="30880" s="1"/>
  <c r="BZ61" i="30880"/>
  <c r="CA61" i="30880" s="1"/>
  <c r="CB61" i="30880"/>
  <c r="CC61" i="30880" s="1"/>
  <c r="CD61" i="30880"/>
  <c r="CE61" i="30880" s="1"/>
  <c r="CF61" i="30880"/>
  <c r="CG61" i="30880" s="1"/>
  <c r="CH61" i="30880"/>
  <c r="CI61" i="30880" s="1"/>
  <c r="CJ61" i="30880"/>
  <c r="CK61" i="30880" s="1"/>
  <c r="CL61" i="30880"/>
  <c r="CM61" i="30880" s="1"/>
  <c r="CN61" i="30880"/>
  <c r="CO61" i="30880" s="1"/>
  <c r="CP61" i="30880"/>
  <c r="CQ61" i="30880" s="1"/>
  <c r="CR61" i="30880"/>
  <c r="CS61" i="30880" s="1"/>
  <c r="CT61" i="30880"/>
  <c r="CU61" i="30880" s="1"/>
  <c r="CV61" i="30880"/>
  <c r="CW61" i="30880" s="1"/>
  <c r="CX61" i="30880"/>
  <c r="CY61" i="30880" s="1"/>
  <c r="CZ61" i="30880"/>
  <c r="DA61" i="30880" s="1"/>
  <c r="DB61" i="30880"/>
  <c r="DC61" i="30880" s="1"/>
  <c r="DD61" i="30880"/>
  <c r="DE61" i="30880" s="1"/>
  <c r="DF61" i="30880"/>
  <c r="DG61" i="30880" s="1"/>
  <c r="DH61" i="30880"/>
  <c r="DI61" i="30880" s="1"/>
  <c r="DJ61" i="30880"/>
  <c r="DK61" i="30880" s="1"/>
  <c r="DL61" i="30880"/>
  <c r="DM61" i="30880" s="1"/>
  <c r="DP61" i="30880"/>
  <c r="DQ61" i="30880" s="1"/>
  <c r="DR61" i="30880"/>
  <c r="DS61" i="30880" s="1"/>
  <c r="AT62" i="30880"/>
  <c r="AU62" i="30880" s="1"/>
  <c r="AV62" i="30880"/>
  <c r="AW62" i="30880" s="1"/>
  <c r="AX62" i="30880"/>
  <c r="AY62" i="30880" s="1"/>
  <c r="AZ62" i="30880"/>
  <c r="BA62" i="30880" s="1"/>
  <c r="BB62" i="30880"/>
  <c r="BC62" i="30880" s="1"/>
  <c r="BD62" i="30880"/>
  <c r="BE62" i="30880" s="1"/>
  <c r="BF62" i="30880"/>
  <c r="BG62" i="30880" s="1"/>
  <c r="BH62" i="30880"/>
  <c r="BI62" i="30880" s="1"/>
  <c r="BJ62" i="30880"/>
  <c r="BK62" i="30880" s="1"/>
  <c r="BL62" i="30880"/>
  <c r="BM62" i="30880" s="1"/>
  <c r="BN62" i="30880"/>
  <c r="BO62" i="30880" s="1"/>
  <c r="BP62" i="30880"/>
  <c r="BQ62" i="30880" s="1"/>
  <c r="BR62" i="30880"/>
  <c r="BS62" i="30880" s="1"/>
  <c r="BT62" i="30880"/>
  <c r="BU62" i="30880" s="1"/>
  <c r="BV62" i="30880"/>
  <c r="BW62" i="30880" s="1"/>
  <c r="BX62" i="30880"/>
  <c r="BY62" i="30880" s="1"/>
  <c r="BZ62" i="30880"/>
  <c r="CA62" i="30880" s="1"/>
  <c r="CB62" i="30880"/>
  <c r="CC62" i="30880" s="1"/>
  <c r="CD62" i="30880"/>
  <c r="CE62" i="30880" s="1"/>
  <c r="CF62" i="30880"/>
  <c r="CG62" i="30880" s="1"/>
  <c r="CH62" i="30880"/>
  <c r="CI62" i="30880" s="1"/>
  <c r="CJ62" i="30880"/>
  <c r="CK62" i="30880" s="1"/>
  <c r="CL62" i="30880"/>
  <c r="CM62" i="30880" s="1"/>
  <c r="CN62" i="30880"/>
  <c r="CO62" i="30880" s="1"/>
  <c r="CP62" i="30880"/>
  <c r="CQ62" i="30880" s="1"/>
  <c r="CR62" i="30880"/>
  <c r="CS62" i="30880" s="1"/>
  <c r="CT62" i="30880"/>
  <c r="CU62" i="30880" s="1"/>
  <c r="CV62" i="30880"/>
  <c r="CW62" i="30880" s="1"/>
  <c r="CX62" i="30880"/>
  <c r="CY62" i="30880" s="1"/>
  <c r="CZ62" i="30880"/>
  <c r="DA62" i="30880" s="1"/>
  <c r="DB62" i="30880"/>
  <c r="DC62" i="30880" s="1"/>
  <c r="DD62" i="30880"/>
  <c r="DE62" i="30880" s="1"/>
  <c r="DF62" i="30880"/>
  <c r="DG62" i="30880" s="1"/>
  <c r="DH62" i="30880"/>
  <c r="DI62" i="30880" s="1"/>
  <c r="DJ62" i="30880"/>
  <c r="DK62" i="30880" s="1"/>
  <c r="DL62" i="30880"/>
  <c r="DM62" i="30880" s="1"/>
  <c r="DP62" i="30880"/>
  <c r="DQ62" i="30880" s="1"/>
  <c r="DR62" i="30880"/>
  <c r="DS62" i="30880" s="1"/>
  <c r="AT63" i="30880"/>
  <c r="AU63" i="30880" s="1"/>
  <c r="AV63" i="30880"/>
  <c r="AW63" i="30880" s="1"/>
  <c r="AX63" i="30880"/>
  <c r="AY63" i="30880" s="1"/>
  <c r="AZ63" i="30880"/>
  <c r="BA63" i="30880" s="1"/>
  <c r="BB63" i="30880"/>
  <c r="BC63" i="30880" s="1"/>
  <c r="BD63" i="30880"/>
  <c r="BE63" i="30880" s="1"/>
  <c r="BF63" i="30880"/>
  <c r="BG63" i="30880" s="1"/>
  <c r="BH63" i="30880"/>
  <c r="BI63" i="30880" s="1"/>
  <c r="BJ63" i="30880"/>
  <c r="BK63" i="30880" s="1"/>
  <c r="BL63" i="30880"/>
  <c r="BM63" i="30880" s="1"/>
  <c r="BN63" i="30880"/>
  <c r="BO63" i="30880" s="1"/>
  <c r="BP63" i="30880"/>
  <c r="BQ63" i="30880" s="1"/>
  <c r="BR63" i="30880"/>
  <c r="BS63" i="30880" s="1"/>
  <c r="BT63" i="30880"/>
  <c r="BU63" i="30880" s="1"/>
  <c r="BV63" i="30880"/>
  <c r="BW63" i="30880" s="1"/>
  <c r="BX63" i="30880"/>
  <c r="BY63" i="30880" s="1"/>
  <c r="BZ63" i="30880"/>
  <c r="CA63" i="30880" s="1"/>
  <c r="CB63" i="30880"/>
  <c r="CC63" i="30880" s="1"/>
  <c r="CD63" i="30880"/>
  <c r="CE63" i="30880" s="1"/>
  <c r="CF63" i="30880"/>
  <c r="CG63" i="30880" s="1"/>
  <c r="CH63" i="30880"/>
  <c r="CI63" i="30880" s="1"/>
  <c r="CJ63" i="30880"/>
  <c r="CK63" i="30880" s="1"/>
  <c r="CL63" i="30880"/>
  <c r="CM63" i="30880" s="1"/>
  <c r="CN63" i="30880"/>
  <c r="CO63" i="30880" s="1"/>
  <c r="CP63" i="30880"/>
  <c r="CQ63" i="30880" s="1"/>
  <c r="CR63" i="30880"/>
  <c r="CS63" i="30880" s="1"/>
  <c r="CT63" i="30880"/>
  <c r="CU63" i="30880" s="1"/>
  <c r="CV63" i="30880"/>
  <c r="CW63" i="30880" s="1"/>
  <c r="CX63" i="30880"/>
  <c r="CY63" i="30880" s="1"/>
  <c r="CZ63" i="30880"/>
  <c r="DA63" i="30880" s="1"/>
  <c r="DB63" i="30880"/>
  <c r="DC63" i="30880" s="1"/>
  <c r="DD63" i="30880"/>
  <c r="DE63" i="30880" s="1"/>
  <c r="DF63" i="30880"/>
  <c r="DG63" i="30880" s="1"/>
  <c r="DH63" i="30880"/>
  <c r="DI63" i="30880" s="1"/>
  <c r="DJ63" i="30880"/>
  <c r="DK63" i="30880" s="1"/>
  <c r="DL63" i="30880"/>
  <c r="DM63" i="30880" s="1"/>
  <c r="DP63" i="30880"/>
  <c r="DQ63" i="30880" s="1"/>
  <c r="DR63" i="30880"/>
  <c r="DS63" i="30880" s="1"/>
  <c r="AT64" i="30880"/>
  <c r="AU64" i="30880" s="1"/>
  <c r="AV64" i="30880"/>
  <c r="AW64" i="30880" s="1"/>
  <c r="AX64" i="30880"/>
  <c r="AY64" i="30880" s="1"/>
  <c r="AZ64" i="30880"/>
  <c r="BA64" i="30880" s="1"/>
  <c r="BB64" i="30880"/>
  <c r="BC64" i="30880" s="1"/>
  <c r="BD64" i="30880"/>
  <c r="BE64" i="30880" s="1"/>
  <c r="BF64" i="30880"/>
  <c r="BG64" i="30880" s="1"/>
  <c r="BH64" i="30880"/>
  <c r="BI64" i="30880" s="1"/>
  <c r="BJ64" i="30880"/>
  <c r="BK64" i="30880" s="1"/>
  <c r="BL64" i="30880"/>
  <c r="BM64" i="30880" s="1"/>
  <c r="BN64" i="30880"/>
  <c r="BO64" i="30880" s="1"/>
  <c r="BP64" i="30880"/>
  <c r="BQ64" i="30880" s="1"/>
  <c r="BR64" i="30880"/>
  <c r="BS64" i="30880" s="1"/>
  <c r="BT64" i="30880"/>
  <c r="BU64" i="30880" s="1"/>
  <c r="BV64" i="30880"/>
  <c r="BW64" i="30880" s="1"/>
  <c r="BX64" i="30880"/>
  <c r="BY64" i="30880" s="1"/>
  <c r="BZ64" i="30880"/>
  <c r="CA64" i="30880" s="1"/>
  <c r="CB64" i="30880"/>
  <c r="CC64" i="30880" s="1"/>
  <c r="CD64" i="30880"/>
  <c r="CE64" i="30880" s="1"/>
  <c r="CF64" i="30880"/>
  <c r="CG64" i="30880" s="1"/>
  <c r="CH64" i="30880"/>
  <c r="CI64" i="30880" s="1"/>
  <c r="CJ64" i="30880"/>
  <c r="CK64" i="30880" s="1"/>
  <c r="CL64" i="30880"/>
  <c r="CM64" i="30880" s="1"/>
  <c r="CN64" i="30880"/>
  <c r="CO64" i="30880" s="1"/>
  <c r="CP64" i="30880"/>
  <c r="CQ64" i="30880" s="1"/>
  <c r="CR64" i="30880"/>
  <c r="CS64" i="30880" s="1"/>
  <c r="CT64" i="30880"/>
  <c r="CU64" i="30880" s="1"/>
  <c r="CV64" i="30880"/>
  <c r="CW64" i="30880" s="1"/>
  <c r="CX64" i="30880"/>
  <c r="CY64" i="30880" s="1"/>
  <c r="CZ64" i="30880"/>
  <c r="DA64" i="30880" s="1"/>
  <c r="DB64" i="30880"/>
  <c r="DC64" i="30880" s="1"/>
  <c r="DD64" i="30880"/>
  <c r="DE64" i="30880" s="1"/>
  <c r="DF64" i="30880"/>
  <c r="DG64" i="30880" s="1"/>
  <c r="DH64" i="30880"/>
  <c r="DI64" i="30880" s="1"/>
  <c r="DJ64" i="30880"/>
  <c r="DK64" i="30880" s="1"/>
  <c r="DL64" i="30880"/>
  <c r="DM64" i="30880" s="1"/>
  <c r="DP64" i="30880"/>
  <c r="DQ64" i="30880" s="1"/>
  <c r="DR64" i="30880"/>
  <c r="DS64" i="30880" s="1"/>
  <c r="AT65" i="30880"/>
  <c r="AU65" i="30880" s="1"/>
  <c r="AV65" i="30880"/>
  <c r="AW65" i="30880" s="1"/>
  <c r="AX65" i="30880"/>
  <c r="AY65" i="30880" s="1"/>
  <c r="AZ65" i="30880"/>
  <c r="BA65" i="30880" s="1"/>
  <c r="BB65" i="30880"/>
  <c r="BC65" i="30880" s="1"/>
  <c r="BD65" i="30880"/>
  <c r="BE65" i="30880" s="1"/>
  <c r="BF65" i="30880"/>
  <c r="BG65" i="30880" s="1"/>
  <c r="BH65" i="30880"/>
  <c r="BI65" i="30880" s="1"/>
  <c r="BJ65" i="30880"/>
  <c r="BK65" i="30880" s="1"/>
  <c r="BL65" i="30880"/>
  <c r="BM65" i="30880" s="1"/>
  <c r="BN65" i="30880"/>
  <c r="BO65" i="30880" s="1"/>
  <c r="BP65" i="30880"/>
  <c r="BQ65" i="30880" s="1"/>
  <c r="BR65" i="30880"/>
  <c r="BS65" i="30880" s="1"/>
  <c r="BT65" i="30880"/>
  <c r="BU65" i="30880" s="1"/>
  <c r="BV65" i="30880"/>
  <c r="BW65" i="30880" s="1"/>
  <c r="BX65" i="30880"/>
  <c r="BY65" i="30880" s="1"/>
  <c r="BZ65" i="30880"/>
  <c r="CA65" i="30880" s="1"/>
  <c r="CB65" i="30880"/>
  <c r="CC65" i="30880" s="1"/>
  <c r="CD65" i="30880"/>
  <c r="CE65" i="30880" s="1"/>
  <c r="CF65" i="30880"/>
  <c r="CG65" i="30880" s="1"/>
  <c r="CH65" i="30880"/>
  <c r="CI65" i="30880" s="1"/>
  <c r="CJ65" i="30880"/>
  <c r="CK65" i="30880" s="1"/>
  <c r="CL65" i="30880"/>
  <c r="CM65" i="30880" s="1"/>
  <c r="CN65" i="30880"/>
  <c r="CO65" i="30880" s="1"/>
  <c r="CP65" i="30880"/>
  <c r="CQ65" i="30880" s="1"/>
  <c r="CR65" i="30880"/>
  <c r="CS65" i="30880" s="1"/>
  <c r="CT65" i="30880"/>
  <c r="CU65" i="30880" s="1"/>
  <c r="CV65" i="30880"/>
  <c r="CW65" i="30880" s="1"/>
  <c r="CX65" i="30880"/>
  <c r="CY65" i="30880" s="1"/>
  <c r="CZ65" i="30880"/>
  <c r="DA65" i="30880" s="1"/>
  <c r="DB65" i="30880"/>
  <c r="DC65" i="30880" s="1"/>
  <c r="DD65" i="30880"/>
  <c r="DE65" i="30880" s="1"/>
  <c r="DF65" i="30880"/>
  <c r="DG65" i="30880" s="1"/>
  <c r="DH65" i="30880"/>
  <c r="DI65" i="30880" s="1"/>
  <c r="DJ65" i="30880"/>
  <c r="DK65" i="30880" s="1"/>
  <c r="DL65" i="30880"/>
  <c r="DM65" i="30880" s="1"/>
  <c r="DP65" i="30880"/>
  <c r="DQ65" i="30880" s="1"/>
  <c r="DR65" i="30880"/>
  <c r="DS65" i="30880" s="1"/>
  <c r="AT66" i="30880"/>
  <c r="AU66" i="30880" s="1"/>
  <c r="AV66" i="30880"/>
  <c r="AW66" i="30880" s="1"/>
  <c r="AX66" i="30880"/>
  <c r="AY66" i="30880" s="1"/>
  <c r="AZ66" i="30880"/>
  <c r="BA66" i="30880" s="1"/>
  <c r="BB66" i="30880"/>
  <c r="BC66" i="30880" s="1"/>
  <c r="BD66" i="30880"/>
  <c r="BE66" i="30880" s="1"/>
  <c r="BF66" i="30880"/>
  <c r="BG66" i="30880" s="1"/>
  <c r="BH66" i="30880"/>
  <c r="BI66" i="30880" s="1"/>
  <c r="BJ66" i="30880"/>
  <c r="BK66" i="30880" s="1"/>
  <c r="BL66" i="30880"/>
  <c r="BM66" i="30880" s="1"/>
  <c r="BN66" i="30880"/>
  <c r="BO66" i="30880" s="1"/>
  <c r="BP66" i="30880"/>
  <c r="BQ66" i="30880" s="1"/>
  <c r="BR66" i="30880"/>
  <c r="BS66" i="30880" s="1"/>
  <c r="BT66" i="30880"/>
  <c r="BU66" i="30880" s="1"/>
  <c r="BV66" i="30880"/>
  <c r="BW66" i="30880" s="1"/>
  <c r="BX66" i="30880"/>
  <c r="BY66" i="30880" s="1"/>
  <c r="BZ66" i="30880"/>
  <c r="CA66" i="30880" s="1"/>
  <c r="CB66" i="30880"/>
  <c r="CC66" i="30880" s="1"/>
  <c r="CD66" i="30880"/>
  <c r="CE66" i="30880" s="1"/>
  <c r="CF66" i="30880"/>
  <c r="CG66" i="30880" s="1"/>
  <c r="CH66" i="30880"/>
  <c r="CI66" i="30880" s="1"/>
  <c r="CJ66" i="30880"/>
  <c r="CK66" i="30880" s="1"/>
  <c r="CL66" i="30880"/>
  <c r="CM66" i="30880" s="1"/>
  <c r="CN66" i="30880"/>
  <c r="CO66" i="30880" s="1"/>
  <c r="CP66" i="30880"/>
  <c r="CQ66" i="30880" s="1"/>
  <c r="CR66" i="30880"/>
  <c r="CS66" i="30880" s="1"/>
  <c r="CT66" i="30880"/>
  <c r="CU66" i="30880" s="1"/>
  <c r="CV66" i="30880"/>
  <c r="CW66" i="30880" s="1"/>
  <c r="CX66" i="30880"/>
  <c r="CY66" i="30880" s="1"/>
  <c r="CZ66" i="30880"/>
  <c r="DA66" i="30880" s="1"/>
  <c r="DB66" i="30880"/>
  <c r="DC66" i="30880" s="1"/>
  <c r="DD66" i="30880"/>
  <c r="DE66" i="30880" s="1"/>
  <c r="DF66" i="30880"/>
  <c r="DG66" i="30880" s="1"/>
  <c r="DH66" i="30880"/>
  <c r="DI66" i="30880" s="1"/>
  <c r="DJ66" i="30880"/>
  <c r="DK66" i="30880" s="1"/>
  <c r="DL66" i="30880"/>
  <c r="DM66" i="30880" s="1"/>
  <c r="DP66" i="30880"/>
  <c r="DQ66" i="30880" s="1"/>
  <c r="DR66" i="30880"/>
  <c r="DS66" i="30880" s="1"/>
  <c r="AT67" i="30880"/>
  <c r="AU67" i="30880" s="1"/>
  <c r="AV67" i="30880"/>
  <c r="AW67" i="30880" s="1"/>
  <c r="AX67" i="30880"/>
  <c r="AY67" i="30880" s="1"/>
  <c r="AZ67" i="30880"/>
  <c r="BA67" i="30880" s="1"/>
  <c r="BB67" i="30880"/>
  <c r="BC67" i="30880" s="1"/>
  <c r="BD67" i="30880"/>
  <c r="BE67" i="30880" s="1"/>
  <c r="BF67" i="30880"/>
  <c r="BG67" i="30880" s="1"/>
  <c r="BH67" i="30880"/>
  <c r="BI67" i="30880" s="1"/>
  <c r="BJ67" i="30880"/>
  <c r="BK67" i="30880" s="1"/>
  <c r="BL67" i="30880"/>
  <c r="BM67" i="30880" s="1"/>
  <c r="BN67" i="30880"/>
  <c r="BO67" i="30880" s="1"/>
  <c r="BP67" i="30880"/>
  <c r="BQ67" i="30880" s="1"/>
  <c r="BR67" i="30880"/>
  <c r="BS67" i="30880" s="1"/>
  <c r="BT67" i="30880"/>
  <c r="BU67" i="30880" s="1"/>
  <c r="BV67" i="30880"/>
  <c r="BW67" i="30880" s="1"/>
  <c r="BX67" i="30880"/>
  <c r="BY67" i="30880" s="1"/>
  <c r="BZ67" i="30880"/>
  <c r="CA67" i="30880" s="1"/>
  <c r="CB67" i="30880"/>
  <c r="CC67" i="30880" s="1"/>
  <c r="CD67" i="30880"/>
  <c r="CE67" i="30880" s="1"/>
  <c r="CF67" i="30880"/>
  <c r="CG67" i="30880" s="1"/>
  <c r="CH67" i="30880"/>
  <c r="CI67" i="30880" s="1"/>
  <c r="CJ67" i="30880"/>
  <c r="CK67" i="30880" s="1"/>
  <c r="CL67" i="30880"/>
  <c r="CM67" i="30880" s="1"/>
  <c r="CN67" i="30880"/>
  <c r="CO67" i="30880" s="1"/>
  <c r="CP67" i="30880"/>
  <c r="CQ67" i="30880" s="1"/>
  <c r="CR67" i="30880"/>
  <c r="CS67" i="30880" s="1"/>
  <c r="CT67" i="30880"/>
  <c r="CU67" i="30880" s="1"/>
  <c r="CV67" i="30880"/>
  <c r="CW67" i="30880" s="1"/>
  <c r="CX67" i="30880"/>
  <c r="CY67" i="30880" s="1"/>
  <c r="CZ67" i="30880"/>
  <c r="DA67" i="30880" s="1"/>
  <c r="DB67" i="30880"/>
  <c r="DC67" i="30880" s="1"/>
  <c r="DD67" i="30880"/>
  <c r="DE67" i="30880" s="1"/>
  <c r="DF67" i="30880"/>
  <c r="DG67" i="30880" s="1"/>
  <c r="DH67" i="30880"/>
  <c r="DI67" i="30880" s="1"/>
  <c r="DJ67" i="30880"/>
  <c r="DK67" i="30880" s="1"/>
  <c r="DL67" i="30880"/>
  <c r="DM67" i="30880" s="1"/>
  <c r="DP67" i="30880"/>
  <c r="DQ67" i="30880" s="1"/>
  <c r="DR67" i="30880"/>
  <c r="DS67" i="30880" s="1"/>
  <c r="AT68" i="30880"/>
  <c r="AU68" i="30880" s="1"/>
  <c r="AV68" i="30880"/>
  <c r="AW68" i="30880" s="1"/>
  <c r="AX68" i="30880"/>
  <c r="AY68" i="30880" s="1"/>
  <c r="AZ68" i="30880"/>
  <c r="BA68" i="30880" s="1"/>
  <c r="BB68" i="30880"/>
  <c r="BC68" i="30880" s="1"/>
  <c r="BD68" i="30880"/>
  <c r="BE68" i="30880" s="1"/>
  <c r="BF68" i="30880"/>
  <c r="BG68" i="30880" s="1"/>
  <c r="BH68" i="30880"/>
  <c r="BI68" i="30880" s="1"/>
  <c r="BJ68" i="30880"/>
  <c r="BK68" i="30880" s="1"/>
  <c r="BL68" i="30880"/>
  <c r="BM68" i="30880" s="1"/>
  <c r="BN68" i="30880"/>
  <c r="BO68" i="30880" s="1"/>
  <c r="BP68" i="30880"/>
  <c r="BQ68" i="30880" s="1"/>
  <c r="BR68" i="30880"/>
  <c r="BS68" i="30880" s="1"/>
  <c r="BT68" i="30880"/>
  <c r="BU68" i="30880" s="1"/>
  <c r="BV68" i="30880"/>
  <c r="BW68" i="30880" s="1"/>
  <c r="BX68" i="30880"/>
  <c r="BY68" i="30880" s="1"/>
  <c r="BZ68" i="30880"/>
  <c r="CA68" i="30880" s="1"/>
  <c r="CB68" i="30880"/>
  <c r="CC68" i="30880" s="1"/>
  <c r="CD68" i="30880"/>
  <c r="CE68" i="30880" s="1"/>
  <c r="CF68" i="30880"/>
  <c r="CG68" i="30880" s="1"/>
  <c r="CH68" i="30880"/>
  <c r="CI68" i="30880" s="1"/>
  <c r="CJ68" i="30880"/>
  <c r="CK68" i="30880" s="1"/>
  <c r="CL68" i="30880"/>
  <c r="CM68" i="30880" s="1"/>
  <c r="CN68" i="30880"/>
  <c r="CO68" i="30880" s="1"/>
  <c r="CP68" i="30880"/>
  <c r="CQ68" i="30880" s="1"/>
  <c r="CR68" i="30880"/>
  <c r="CS68" i="30880" s="1"/>
  <c r="CT68" i="30880"/>
  <c r="CU68" i="30880" s="1"/>
  <c r="CV68" i="30880"/>
  <c r="CW68" i="30880" s="1"/>
  <c r="CX68" i="30880"/>
  <c r="CY68" i="30880" s="1"/>
  <c r="CZ68" i="30880"/>
  <c r="DA68" i="30880" s="1"/>
  <c r="DB68" i="30880"/>
  <c r="DC68" i="30880" s="1"/>
  <c r="DD68" i="30880"/>
  <c r="DE68" i="30880" s="1"/>
  <c r="DF68" i="30880"/>
  <c r="DG68" i="30880" s="1"/>
  <c r="DH68" i="30880"/>
  <c r="DI68" i="30880" s="1"/>
  <c r="DJ68" i="30880"/>
  <c r="DK68" i="30880" s="1"/>
  <c r="DL68" i="30880"/>
  <c r="DM68" i="30880" s="1"/>
  <c r="DP68" i="30880"/>
  <c r="DQ68" i="30880" s="1"/>
  <c r="DR68" i="30880"/>
  <c r="DS68" i="30880" s="1"/>
  <c r="AT69" i="30880"/>
  <c r="AU69" i="30880" s="1"/>
  <c r="AV69" i="30880"/>
  <c r="AW69" i="30880" s="1"/>
  <c r="AX69" i="30880"/>
  <c r="AY69" i="30880" s="1"/>
  <c r="AZ69" i="30880"/>
  <c r="BA69" i="30880" s="1"/>
  <c r="BB69" i="30880"/>
  <c r="BC69" i="30880" s="1"/>
  <c r="BD69" i="30880"/>
  <c r="BE69" i="30880" s="1"/>
  <c r="BF69" i="30880"/>
  <c r="BG69" i="30880" s="1"/>
  <c r="BH69" i="30880"/>
  <c r="BI69" i="30880" s="1"/>
  <c r="BJ69" i="30880"/>
  <c r="BK69" i="30880" s="1"/>
  <c r="BL69" i="30880"/>
  <c r="BM69" i="30880" s="1"/>
  <c r="BN69" i="30880"/>
  <c r="BO69" i="30880" s="1"/>
  <c r="BP69" i="30880"/>
  <c r="BQ69" i="30880" s="1"/>
  <c r="BR69" i="30880"/>
  <c r="BS69" i="30880" s="1"/>
  <c r="BT69" i="30880"/>
  <c r="BU69" i="30880" s="1"/>
  <c r="BV69" i="30880"/>
  <c r="BW69" i="30880" s="1"/>
  <c r="BX69" i="30880"/>
  <c r="BY69" i="30880" s="1"/>
  <c r="BZ69" i="30880"/>
  <c r="CA69" i="30880" s="1"/>
  <c r="CB69" i="30880"/>
  <c r="CC69" i="30880" s="1"/>
  <c r="CD69" i="30880"/>
  <c r="CE69" i="30880" s="1"/>
  <c r="CF69" i="30880"/>
  <c r="CG69" i="30880" s="1"/>
  <c r="CH69" i="30880"/>
  <c r="CI69" i="30880" s="1"/>
  <c r="CJ69" i="30880"/>
  <c r="CK69" i="30880" s="1"/>
  <c r="CL69" i="30880"/>
  <c r="CM69" i="30880" s="1"/>
  <c r="CN69" i="30880"/>
  <c r="CO69" i="30880" s="1"/>
  <c r="CP69" i="30880"/>
  <c r="CQ69" i="30880" s="1"/>
  <c r="CR69" i="30880"/>
  <c r="CS69" i="30880" s="1"/>
  <c r="CT69" i="30880"/>
  <c r="CU69" i="30880" s="1"/>
  <c r="CV69" i="30880"/>
  <c r="CW69" i="30880" s="1"/>
  <c r="CX69" i="30880"/>
  <c r="CY69" i="30880" s="1"/>
  <c r="CZ69" i="30880"/>
  <c r="DA69" i="30880" s="1"/>
  <c r="DB69" i="30880"/>
  <c r="DC69" i="30880" s="1"/>
  <c r="DD69" i="30880"/>
  <c r="DE69" i="30880" s="1"/>
  <c r="DF69" i="30880"/>
  <c r="DG69" i="30880" s="1"/>
  <c r="DH69" i="30880"/>
  <c r="DI69" i="30880" s="1"/>
  <c r="DJ69" i="30880"/>
  <c r="DK69" i="30880" s="1"/>
  <c r="DL69" i="30880"/>
  <c r="DM69" i="30880" s="1"/>
  <c r="DP69" i="30880"/>
  <c r="DQ69" i="30880" s="1"/>
  <c r="DR69" i="30880"/>
  <c r="DS69" i="30880" s="1"/>
  <c r="AT70" i="30880"/>
  <c r="AU70" i="30880" s="1"/>
  <c r="AV70" i="30880"/>
  <c r="AW70" i="30880" s="1"/>
  <c r="AX70" i="30880"/>
  <c r="AY70" i="30880" s="1"/>
  <c r="AZ70" i="30880"/>
  <c r="BA70" i="30880" s="1"/>
  <c r="BB70" i="30880"/>
  <c r="BC70" i="30880" s="1"/>
  <c r="BD70" i="30880"/>
  <c r="BE70" i="30880" s="1"/>
  <c r="BF70" i="30880"/>
  <c r="BG70" i="30880" s="1"/>
  <c r="BH70" i="30880"/>
  <c r="BI70" i="30880" s="1"/>
  <c r="BJ70" i="30880"/>
  <c r="BK70" i="30880" s="1"/>
  <c r="BL70" i="30880"/>
  <c r="BM70" i="30880" s="1"/>
  <c r="BN70" i="30880"/>
  <c r="BO70" i="30880" s="1"/>
  <c r="BP70" i="30880"/>
  <c r="BQ70" i="30880" s="1"/>
  <c r="BR70" i="30880"/>
  <c r="BS70" i="30880" s="1"/>
  <c r="BT70" i="30880"/>
  <c r="BU70" i="30880" s="1"/>
  <c r="BV70" i="30880"/>
  <c r="BW70" i="30880" s="1"/>
  <c r="BX70" i="30880"/>
  <c r="BY70" i="30880" s="1"/>
  <c r="BZ70" i="30880"/>
  <c r="CA70" i="30880" s="1"/>
  <c r="CB70" i="30880"/>
  <c r="CC70" i="30880" s="1"/>
  <c r="CD70" i="30880"/>
  <c r="CE70" i="30880" s="1"/>
  <c r="CF70" i="30880"/>
  <c r="CG70" i="30880" s="1"/>
  <c r="CH70" i="30880"/>
  <c r="CI70" i="30880" s="1"/>
  <c r="CJ70" i="30880"/>
  <c r="CK70" i="30880" s="1"/>
  <c r="CL70" i="30880"/>
  <c r="CM70" i="30880" s="1"/>
  <c r="CN70" i="30880"/>
  <c r="CO70" i="30880" s="1"/>
  <c r="CP70" i="30880"/>
  <c r="CQ70" i="30880" s="1"/>
  <c r="CR70" i="30880"/>
  <c r="CS70" i="30880" s="1"/>
  <c r="CT70" i="30880"/>
  <c r="CU70" i="30880" s="1"/>
  <c r="CV70" i="30880"/>
  <c r="CW70" i="30880" s="1"/>
  <c r="CX70" i="30880"/>
  <c r="CY70" i="30880" s="1"/>
  <c r="CZ70" i="30880"/>
  <c r="DA70" i="30880" s="1"/>
  <c r="DB70" i="30880"/>
  <c r="DC70" i="30880" s="1"/>
  <c r="DD70" i="30880"/>
  <c r="DE70" i="30880" s="1"/>
  <c r="DF70" i="30880"/>
  <c r="DG70" i="30880" s="1"/>
  <c r="DH70" i="30880"/>
  <c r="DI70" i="30880" s="1"/>
  <c r="DJ70" i="30880"/>
  <c r="DK70" i="30880" s="1"/>
  <c r="DL70" i="30880"/>
  <c r="DM70" i="30880" s="1"/>
  <c r="DP70" i="30880"/>
  <c r="DQ70" i="30880" s="1"/>
  <c r="DR70" i="30880"/>
  <c r="DS70" i="30880" s="1"/>
  <c r="AT71" i="30880"/>
  <c r="AU71" i="30880" s="1"/>
  <c r="AV71" i="30880"/>
  <c r="AW71" i="30880" s="1"/>
  <c r="AX71" i="30880"/>
  <c r="AY71" i="30880" s="1"/>
  <c r="AZ71" i="30880"/>
  <c r="BA71" i="30880" s="1"/>
  <c r="BB71" i="30880"/>
  <c r="BC71" i="30880" s="1"/>
  <c r="BD71" i="30880"/>
  <c r="BE71" i="30880" s="1"/>
  <c r="BF71" i="30880"/>
  <c r="BG71" i="30880" s="1"/>
  <c r="BH71" i="30880"/>
  <c r="BI71" i="30880" s="1"/>
  <c r="BJ71" i="30880"/>
  <c r="BK71" i="30880" s="1"/>
  <c r="BL71" i="30880"/>
  <c r="BM71" i="30880" s="1"/>
  <c r="BN71" i="30880"/>
  <c r="BO71" i="30880" s="1"/>
  <c r="BP71" i="30880"/>
  <c r="BQ71" i="30880" s="1"/>
  <c r="BR71" i="30880"/>
  <c r="BS71" i="30880" s="1"/>
  <c r="BT71" i="30880"/>
  <c r="BU71" i="30880" s="1"/>
  <c r="BV71" i="30880"/>
  <c r="BW71" i="30880" s="1"/>
  <c r="BX71" i="30880"/>
  <c r="BY71" i="30880" s="1"/>
  <c r="BZ71" i="30880"/>
  <c r="CA71" i="30880" s="1"/>
  <c r="CB71" i="30880"/>
  <c r="CC71" i="30880" s="1"/>
  <c r="CD71" i="30880"/>
  <c r="CE71" i="30880" s="1"/>
  <c r="CF71" i="30880"/>
  <c r="CG71" i="30880" s="1"/>
  <c r="CH71" i="30880"/>
  <c r="CI71" i="30880" s="1"/>
  <c r="CJ71" i="30880"/>
  <c r="CK71" i="30880" s="1"/>
  <c r="CL71" i="30880"/>
  <c r="CM71" i="30880" s="1"/>
  <c r="CN71" i="30880"/>
  <c r="CO71" i="30880" s="1"/>
  <c r="CP71" i="30880"/>
  <c r="CQ71" i="30880" s="1"/>
  <c r="CR71" i="30880"/>
  <c r="CS71" i="30880" s="1"/>
  <c r="CT71" i="30880"/>
  <c r="CU71" i="30880" s="1"/>
  <c r="CV71" i="30880"/>
  <c r="CW71" i="30880" s="1"/>
  <c r="CX71" i="30880"/>
  <c r="CY71" i="30880" s="1"/>
  <c r="CZ71" i="30880"/>
  <c r="DA71" i="30880" s="1"/>
  <c r="DB71" i="30880"/>
  <c r="DC71" i="30880" s="1"/>
  <c r="DD71" i="30880"/>
  <c r="DE71" i="30880" s="1"/>
  <c r="DF71" i="30880"/>
  <c r="DG71" i="30880" s="1"/>
  <c r="DH71" i="30880"/>
  <c r="DI71" i="30880" s="1"/>
  <c r="DJ71" i="30880"/>
  <c r="DK71" i="30880" s="1"/>
  <c r="DL71" i="30880"/>
  <c r="DM71" i="30880" s="1"/>
  <c r="DP71" i="30880"/>
  <c r="DQ71" i="30880" s="1"/>
  <c r="DR71" i="30880"/>
  <c r="DS71" i="30880" s="1"/>
  <c r="AT72" i="30880"/>
  <c r="AU72" i="30880" s="1"/>
  <c r="AV72" i="30880"/>
  <c r="AW72" i="30880" s="1"/>
  <c r="AX72" i="30880"/>
  <c r="AY72" i="30880" s="1"/>
  <c r="AZ72" i="30880"/>
  <c r="BA72" i="30880" s="1"/>
  <c r="BB72" i="30880"/>
  <c r="BC72" i="30880" s="1"/>
  <c r="BD72" i="30880"/>
  <c r="BE72" i="30880" s="1"/>
  <c r="BF72" i="30880"/>
  <c r="BG72" i="30880" s="1"/>
  <c r="BH72" i="30880"/>
  <c r="BI72" i="30880" s="1"/>
  <c r="BJ72" i="30880"/>
  <c r="BK72" i="30880" s="1"/>
  <c r="BL72" i="30880"/>
  <c r="BM72" i="30880" s="1"/>
  <c r="BN72" i="30880"/>
  <c r="BO72" i="30880" s="1"/>
  <c r="BP72" i="30880"/>
  <c r="BQ72" i="30880" s="1"/>
  <c r="BR72" i="30880"/>
  <c r="BS72" i="30880" s="1"/>
  <c r="BT72" i="30880"/>
  <c r="BU72" i="30880" s="1"/>
  <c r="BV72" i="30880"/>
  <c r="BW72" i="30880" s="1"/>
  <c r="BX72" i="30880"/>
  <c r="BY72" i="30880" s="1"/>
  <c r="BZ72" i="30880"/>
  <c r="CA72" i="30880" s="1"/>
  <c r="CB72" i="30880"/>
  <c r="CC72" i="30880" s="1"/>
  <c r="CD72" i="30880"/>
  <c r="CE72" i="30880" s="1"/>
  <c r="CF72" i="30880"/>
  <c r="CG72" i="30880" s="1"/>
  <c r="CH72" i="30880"/>
  <c r="CI72" i="30880" s="1"/>
  <c r="CJ72" i="30880"/>
  <c r="CK72" i="30880" s="1"/>
  <c r="CL72" i="30880"/>
  <c r="CM72" i="30880" s="1"/>
  <c r="CN72" i="30880"/>
  <c r="CO72" i="30880" s="1"/>
  <c r="CP72" i="30880"/>
  <c r="CQ72" i="30880" s="1"/>
  <c r="CR72" i="30880"/>
  <c r="CS72" i="30880" s="1"/>
  <c r="CT72" i="30880"/>
  <c r="CU72" i="30880" s="1"/>
  <c r="CV72" i="30880"/>
  <c r="CW72" i="30880" s="1"/>
  <c r="CX72" i="30880"/>
  <c r="CY72" i="30880" s="1"/>
  <c r="CZ72" i="30880"/>
  <c r="DA72" i="30880" s="1"/>
  <c r="DB72" i="30880"/>
  <c r="DC72" i="30880" s="1"/>
  <c r="DD72" i="30880"/>
  <c r="DE72" i="30880" s="1"/>
  <c r="DF72" i="30880"/>
  <c r="DG72" i="30880" s="1"/>
  <c r="DH72" i="30880"/>
  <c r="DI72" i="30880" s="1"/>
  <c r="DJ72" i="30880"/>
  <c r="DK72" i="30880" s="1"/>
  <c r="DL72" i="30880"/>
  <c r="DM72" i="30880" s="1"/>
  <c r="DP72" i="30880"/>
  <c r="DQ72" i="30880" s="1"/>
  <c r="DR72" i="30880"/>
  <c r="DS72" i="30880" s="1"/>
  <c r="AT73" i="30880"/>
  <c r="AU73" i="30880" s="1"/>
  <c r="AV73" i="30880"/>
  <c r="AW73" i="30880" s="1"/>
  <c r="AX73" i="30880"/>
  <c r="AY73" i="30880" s="1"/>
  <c r="AZ73" i="30880"/>
  <c r="BA73" i="30880" s="1"/>
  <c r="BB73" i="30880"/>
  <c r="BC73" i="30880" s="1"/>
  <c r="BD73" i="30880"/>
  <c r="BE73" i="30880" s="1"/>
  <c r="BF73" i="30880"/>
  <c r="BG73" i="30880" s="1"/>
  <c r="BH73" i="30880"/>
  <c r="BI73" i="30880" s="1"/>
  <c r="BJ73" i="30880"/>
  <c r="BK73" i="30880" s="1"/>
  <c r="BL73" i="30880"/>
  <c r="BM73" i="30880" s="1"/>
  <c r="BN73" i="30880"/>
  <c r="BO73" i="30880" s="1"/>
  <c r="BP73" i="30880"/>
  <c r="BQ73" i="30880" s="1"/>
  <c r="BR73" i="30880"/>
  <c r="BS73" i="30880" s="1"/>
  <c r="BT73" i="30880"/>
  <c r="BU73" i="30880" s="1"/>
  <c r="BV73" i="30880"/>
  <c r="BW73" i="30880" s="1"/>
  <c r="BX73" i="30880"/>
  <c r="BY73" i="30880" s="1"/>
  <c r="BZ73" i="30880"/>
  <c r="CA73" i="30880" s="1"/>
  <c r="CB73" i="30880"/>
  <c r="CC73" i="30880" s="1"/>
  <c r="CD73" i="30880"/>
  <c r="CE73" i="30880" s="1"/>
  <c r="CF73" i="30880"/>
  <c r="CG73" i="30880" s="1"/>
  <c r="CH73" i="30880"/>
  <c r="CI73" i="30880" s="1"/>
  <c r="CJ73" i="30880"/>
  <c r="CK73" i="30880" s="1"/>
  <c r="CL73" i="30880"/>
  <c r="CM73" i="30880" s="1"/>
  <c r="CN73" i="30880"/>
  <c r="CO73" i="30880" s="1"/>
  <c r="CP73" i="30880"/>
  <c r="CQ73" i="30880" s="1"/>
  <c r="CR73" i="30880"/>
  <c r="CS73" i="30880" s="1"/>
  <c r="CT73" i="30880"/>
  <c r="CU73" i="30880" s="1"/>
  <c r="CV73" i="30880"/>
  <c r="CW73" i="30880" s="1"/>
  <c r="CX73" i="30880"/>
  <c r="CY73" i="30880" s="1"/>
  <c r="CZ73" i="30880"/>
  <c r="DA73" i="30880" s="1"/>
  <c r="DB73" i="30880"/>
  <c r="DC73" i="30880" s="1"/>
  <c r="DD73" i="30880"/>
  <c r="DE73" i="30880" s="1"/>
  <c r="DF73" i="30880"/>
  <c r="DG73" i="30880" s="1"/>
  <c r="DH73" i="30880"/>
  <c r="DI73" i="30880" s="1"/>
  <c r="DJ73" i="30880"/>
  <c r="DK73" i="30880" s="1"/>
  <c r="DL73" i="30880"/>
  <c r="DM73" i="30880" s="1"/>
  <c r="DP73" i="30880"/>
  <c r="DQ73" i="30880" s="1"/>
  <c r="DR73" i="30880"/>
  <c r="DS73" i="30880" s="1"/>
  <c r="AT74" i="30880"/>
  <c r="AU74" i="30880" s="1"/>
  <c r="AV74" i="30880"/>
  <c r="AW74" i="30880" s="1"/>
  <c r="AX74" i="30880"/>
  <c r="AY74" i="30880" s="1"/>
  <c r="AZ74" i="30880"/>
  <c r="BA74" i="30880" s="1"/>
  <c r="BB74" i="30880"/>
  <c r="BC74" i="30880" s="1"/>
  <c r="BD74" i="30880"/>
  <c r="BE74" i="30880" s="1"/>
  <c r="BF74" i="30880"/>
  <c r="BG74" i="30880" s="1"/>
  <c r="BH74" i="30880"/>
  <c r="BI74" i="30880" s="1"/>
  <c r="BJ74" i="30880"/>
  <c r="BK74" i="30880" s="1"/>
  <c r="BL74" i="30880"/>
  <c r="BM74" i="30880" s="1"/>
  <c r="BN74" i="30880"/>
  <c r="BO74" i="30880" s="1"/>
  <c r="BP74" i="30880"/>
  <c r="BQ74" i="30880" s="1"/>
  <c r="BR74" i="30880"/>
  <c r="BS74" i="30880" s="1"/>
  <c r="BT74" i="30880"/>
  <c r="BU74" i="30880" s="1"/>
  <c r="BV74" i="30880"/>
  <c r="BW74" i="30880" s="1"/>
  <c r="BX74" i="30880"/>
  <c r="BY74" i="30880" s="1"/>
  <c r="BZ74" i="30880"/>
  <c r="CA74" i="30880" s="1"/>
  <c r="CB74" i="30880"/>
  <c r="CC74" i="30880" s="1"/>
  <c r="CD74" i="30880"/>
  <c r="CE74" i="30880" s="1"/>
  <c r="CF74" i="30880"/>
  <c r="CG74" i="30880" s="1"/>
  <c r="CH74" i="30880"/>
  <c r="CI74" i="30880" s="1"/>
  <c r="CJ74" i="30880"/>
  <c r="CK74" i="30880" s="1"/>
  <c r="CL74" i="30880"/>
  <c r="CM74" i="30880" s="1"/>
  <c r="CN74" i="30880"/>
  <c r="CO74" i="30880" s="1"/>
  <c r="CP74" i="30880"/>
  <c r="CQ74" i="30880" s="1"/>
  <c r="CR74" i="30880"/>
  <c r="CS74" i="30880" s="1"/>
  <c r="CT74" i="30880"/>
  <c r="CU74" i="30880" s="1"/>
  <c r="CV74" i="30880"/>
  <c r="CW74" i="30880" s="1"/>
  <c r="CX74" i="30880"/>
  <c r="CY74" i="30880" s="1"/>
  <c r="CZ74" i="30880"/>
  <c r="DA74" i="30880" s="1"/>
  <c r="DB74" i="30880"/>
  <c r="DC74" i="30880" s="1"/>
  <c r="DD74" i="30880"/>
  <c r="DE74" i="30880" s="1"/>
  <c r="DF74" i="30880"/>
  <c r="DG74" i="30880" s="1"/>
  <c r="DH74" i="30880"/>
  <c r="DI74" i="30880" s="1"/>
  <c r="DJ74" i="30880"/>
  <c r="DK74" i="30880" s="1"/>
  <c r="DL74" i="30880"/>
  <c r="DM74" i="30880" s="1"/>
  <c r="DP74" i="30880"/>
  <c r="DQ74" i="30880" s="1"/>
  <c r="DR74" i="30880"/>
  <c r="DS74" i="30880" s="1"/>
  <c r="AT75" i="30880"/>
  <c r="AU75" i="30880" s="1"/>
  <c r="AV75" i="30880"/>
  <c r="AW75" i="30880" s="1"/>
  <c r="AX75" i="30880"/>
  <c r="AY75" i="30880" s="1"/>
  <c r="AZ75" i="30880"/>
  <c r="BA75" i="30880" s="1"/>
  <c r="BB75" i="30880"/>
  <c r="BC75" i="30880" s="1"/>
  <c r="BD75" i="30880"/>
  <c r="BE75" i="30880" s="1"/>
  <c r="BF75" i="30880"/>
  <c r="BG75" i="30880" s="1"/>
  <c r="BH75" i="30880"/>
  <c r="BI75" i="30880" s="1"/>
  <c r="BJ75" i="30880"/>
  <c r="BK75" i="30880" s="1"/>
  <c r="BL75" i="30880"/>
  <c r="BM75" i="30880" s="1"/>
  <c r="BN75" i="30880"/>
  <c r="BO75" i="30880" s="1"/>
  <c r="BP75" i="30880"/>
  <c r="BQ75" i="30880" s="1"/>
  <c r="BR75" i="30880"/>
  <c r="BS75" i="30880" s="1"/>
  <c r="BT75" i="30880"/>
  <c r="BU75" i="30880" s="1"/>
  <c r="BV75" i="30880"/>
  <c r="BW75" i="30880" s="1"/>
  <c r="BX75" i="30880"/>
  <c r="BY75" i="30880" s="1"/>
  <c r="BZ75" i="30880"/>
  <c r="CA75" i="30880" s="1"/>
  <c r="CB75" i="30880"/>
  <c r="CC75" i="30880" s="1"/>
  <c r="CD75" i="30880"/>
  <c r="CE75" i="30880" s="1"/>
  <c r="CF75" i="30880"/>
  <c r="CG75" i="30880" s="1"/>
  <c r="CH75" i="30880"/>
  <c r="CI75" i="30880" s="1"/>
  <c r="CJ75" i="30880"/>
  <c r="CK75" i="30880" s="1"/>
  <c r="CL75" i="30880"/>
  <c r="CM75" i="30880" s="1"/>
  <c r="CN75" i="30880"/>
  <c r="CO75" i="30880" s="1"/>
  <c r="CP75" i="30880"/>
  <c r="CQ75" i="30880" s="1"/>
  <c r="CR75" i="30880"/>
  <c r="CS75" i="30880" s="1"/>
  <c r="CT75" i="30880"/>
  <c r="CU75" i="30880" s="1"/>
  <c r="CV75" i="30880"/>
  <c r="CW75" i="30880" s="1"/>
  <c r="CX75" i="30880"/>
  <c r="CY75" i="30880" s="1"/>
  <c r="CZ75" i="30880"/>
  <c r="DA75" i="30880" s="1"/>
  <c r="DB75" i="30880"/>
  <c r="DC75" i="30880" s="1"/>
  <c r="DD75" i="30880"/>
  <c r="DE75" i="30880" s="1"/>
  <c r="DF75" i="30880"/>
  <c r="DG75" i="30880" s="1"/>
  <c r="DH75" i="30880"/>
  <c r="DI75" i="30880" s="1"/>
  <c r="DJ75" i="30880"/>
  <c r="DK75" i="30880" s="1"/>
  <c r="DL75" i="30880"/>
  <c r="DM75" i="30880" s="1"/>
  <c r="DP75" i="30880"/>
  <c r="DQ75" i="30880" s="1"/>
  <c r="DR75" i="30880"/>
  <c r="DS75" i="30880" s="1"/>
  <c r="AT76" i="30880"/>
  <c r="AU76" i="30880" s="1"/>
  <c r="AV76" i="30880"/>
  <c r="AW76" i="30880" s="1"/>
  <c r="AX76" i="30880"/>
  <c r="AY76" i="30880" s="1"/>
  <c r="AZ76" i="30880"/>
  <c r="BA76" i="30880" s="1"/>
  <c r="BB76" i="30880"/>
  <c r="BC76" i="30880" s="1"/>
  <c r="BD76" i="30880"/>
  <c r="BE76" i="30880" s="1"/>
  <c r="BF76" i="30880"/>
  <c r="BG76" i="30880" s="1"/>
  <c r="BH76" i="30880"/>
  <c r="BI76" i="30880" s="1"/>
  <c r="BJ76" i="30880"/>
  <c r="BK76" i="30880" s="1"/>
  <c r="BL76" i="30880"/>
  <c r="BM76" i="30880" s="1"/>
  <c r="BN76" i="30880"/>
  <c r="BO76" i="30880" s="1"/>
  <c r="BP76" i="30880"/>
  <c r="BQ76" i="30880" s="1"/>
  <c r="BR76" i="30880"/>
  <c r="BS76" i="30880" s="1"/>
  <c r="BT76" i="30880"/>
  <c r="BU76" i="30880" s="1"/>
  <c r="BV76" i="30880"/>
  <c r="BW76" i="30880" s="1"/>
  <c r="BX76" i="30880"/>
  <c r="BY76" i="30880" s="1"/>
  <c r="BZ76" i="30880"/>
  <c r="CA76" i="30880" s="1"/>
  <c r="CB76" i="30880"/>
  <c r="CC76" i="30880" s="1"/>
  <c r="CD76" i="30880"/>
  <c r="CE76" i="30880" s="1"/>
  <c r="CF76" i="30880"/>
  <c r="CG76" i="30880" s="1"/>
  <c r="CH76" i="30880"/>
  <c r="CI76" i="30880" s="1"/>
  <c r="CJ76" i="30880"/>
  <c r="CK76" i="30880" s="1"/>
  <c r="CL76" i="30880"/>
  <c r="CM76" i="30880" s="1"/>
  <c r="CN76" i="30880"/>
  <c r="CO76" i="30880" s="1"/>
  <c r="CP76" i="30880"/>
  <c r="CQ76" i="30880" s="1"/>
  <c r="CR76" i="30880"/>
  <c r="CS76" i="30880" s="1"/>
  <c r="CT76" i="30880"/>
  <c r="CU76" i="30880" s="1"/>
  <c r="CV76" i="30880"/>
  <c r="CW76" i="30880" s="1"/>
  <c r="CX76" i="30880"/>
  <c r="CY76" i="30880" s="1"/>
  <c r="CZ76" i="30880"/>
  <c r="DA76" i="30880" s="1"/>
  <c r="DB76" i="30880"/>
  <c r="DC76" i="30880" s="1"/>
  <c r="DD76" i="30880"/>
  <c r="DE76" i="30880" s="1"/>
  <c r="DF76" i="30880"/>
  <c r="DG76" i="30880" s="1"/>
  <c r="DH76" i="30880"/>
  <c r="DI76" i="30880" s="1"/>
  <c r="DJ76" i="30880"/>
  <c r="DK76" i="30880" s="1"/>
  <c r="DL76" i="30880"/>
  <c r="DM76" i="30880" s="1"/>
  <c r="DP76" i="30880"/>
  <c r="DQ76" i="30880" s="1"/>
  <c r="DR76" i="30880"/>
  <c r="DS76" i="30880" s="1"/>
  <c r="AT77" i="30880"/>
  <c r="AU77" i="30880" s="1"/>
  <c r="AV77" i="30880"/>
  <c r="AW77" i="30880" s="1"/>
  <c r="AX77" i="30880"/>
  <c r="AY77" i="30880" s="1"/>
  <c r="AZ77" i="30880"/>
  <c r="BA77" i="30880" s="1"/>
  <c r="BB77" i="30880"/>
  <c r="BC77" i="30880" s="1"/>
  <c r="BD77" i="30880"/>
  <c r="BE77" i="30880" s="1"/>
  <c r="BF77" i="30880"/>
  <c r="BG77" i="30880" s="1"/>
  <c r="BH77" i="30880"/>
  <c r="BI77" i="30880" s="1"/>
  <c r="BJ77" i="30880"/>
  <c r="BK77" i="30880" s="1"/>
  <c r="BL77" i="30880"/>
  <c r="BM77" i="30880" s="1"/>
  <c r="BN77" i="30880"/>
  <c r="BO77" i="30880" s="1"/>
  <c r="BP77" i="30880"/>
  <c r="BQ77" i="30880" s="1"/>
  <c r="BR77" i="30880"/>
  <c r="BS77" i="30880" s="1"/>
  <c r="BT77" i="30880"/>
  <c r="BU77" i="30880" s="1"/>
  <c r="BV77" i="30880"/>
  <c r="BW77" i="30880" s="1"/>
  <c r="BX77" i="30880"/>
  <c r="BY77" i="30880" s="1"/>
  <c r="BZ77" i="30880"/>
  <c r="CA77" i="30880" s="1"/>
  <c r="CB77" i="30880"/>
  <c r="CC77" i="30880" s="1"/>
  <c r="CD77" i="30880"/>
  <c r="CE77" i="30880" s="1"/>
  <c r="CF77" i="30880"/>
  <c r="CG77" i="30880" s="1"/>
  <c r="CH77" i="30880"/>
  <c r="CI77" i="30880" s="1"/>
  <c r="CJ77" i="30880"/>
  <c r="CK77" i="30880" s="1"/>
  <c r="CL77" i="30880"/>
  <c r="CM77" i="30880" s="1"/>
  <c r="CN77" i="30880"/>
  <c r="CO77" i="30880" s="1"/>
  <c r="CP77" i="30880"/>
  <c r="CQ77" i="30880" s="1"/>
  <c r="CR77" i="30880"/>
  <c r="CS77" i="30880" s="1"/>
  <c r="CT77" i="30880"/>
  <c r="CU77" i="30880" s="1"/>
  <c r="CV77" i="30880"/>
  <c r="CW77" i="30880" s="1"/>
  <c r="CX77" i="30880"/>
  <c r="CY77" i="30880" s="1"/>
  <c r="CZ77" i="30880"/>
  <c r="DA77" i="30880" s="1"/>
  <c r="DB77" i="30880"/>
  <c r="DC77" i="30880" s="1"/>
  <c r="DD77" i="30880"/>
  <c r="DE77" i="30880" s="1"/>
  <c r="DF77" i="30880"/>
  <c r="DG77" i="30880" s="1"/>
  <c r="DH77" i="30880"/>
  <c r="DI77" i="30880" s="1"/>
  <c r="DJ77" i="30880"/>
  <c r="DK77" i="30880" s="1"/>
  <c r="DL77" i="30880"/>
  <c r="DM77" i="30880" s="1"/>
  <c r="DP77" i="30880"/>
  <c r="DQ77" i="30880" s="1"/>
  <c r="DR77" i="30880"/>
  <c r="DS77" i="30880" s="1"/>
  <c r="AR4" i="30880"/>
  <c r="AS4" i="30880" s="1"/>
  <c r="AR5" i="30880"/>
  <c r="AS5" i="30880" s="1"/>
  <c r="AR6" i="30880"/>
  <c r="AS6" i="30880" s="1"/>
  <c r="AR7" i="30880"/>
  <c r="AS7" i="30880" s="1"/>
  <c r="AR8" i="30880"/>
  <c r="AS8" i="30880" s="1"/>
  <c r="AR9" i="30880"/>
  <c r="AS9" i="30880" s="1"/>
  <c r="AR10" i="30880"/>
  <c r="AS10" i="30880" s="1"/>
  <c r="AR11" i="30880"/>
  <c r="AS11" i="30880" s="1"/>
  <c r="AR12" i="30880"/>
  <c r="AS12" i="30880" s="1"/>
  <c r="AR13" i="30880"/>
  <c r="AS13" i="30880" s="1"/>
  <c r="AR14" i="30880"/>
  <c r="AS14" i="30880" s="1"/>
  <c r="AR15" i="30880"/>
  <c r="AS15" i="30880" s="1"/>
  <c r="AR16" i="30880"/>
  <c r="AS16" i="30880" s="1"/>
  <c r="AR17" i="30880"/>
  <c r="AS17" i="30880" s="1"/>
  <c r="AR18" i="30880"/>
  <c r="AS18" i="30880" s="1"/>
  <c r="AR19" i="30880"/>
  <c r="AS19" i="30880" s="1"/>
  <c r="AR20" i="30880"/>
  <c r="AS20" i="30880" s="1"/>
  <c r="AR21" i="30880"/>
  <c r="AS21" i="30880" s="1"/>
  <c r="AR22" i="30880"/>
  <c r="AS22" i="30880" s="1"/>
  <c r="AR23" i="30880"/>
  <c r="AS23" i="30880" s="1"/>
  <c r="AR24" i="30880"/>
  <c r="AS24" i="30880" s="1"/>
  <c r="AR25" i="30880"/>
  <c r="AS25" i="30880" s="1"/>
  <c r="AR26" i="30880"/>
  <c r="AS26" i="30880" s="1"/>
  <c r="AR27" i="30880"/>
  <c r="AS27" i="30880" s="1"/>
  <c r="AR28" i="30880"/>
  <c r="AS28" i="30880" s="1"/>
  <c r="AR29" i="30880"/>
  <c r="AS29" i="30880" s="1"/>
  <c r="AR30" i="30880"/>
  <c r="AS30" i="30880" s="1"/>
  <c r="AR31" i="30880"/>
  <c r="AS31" i="30880" s="1"/>
  <c r="AR32" i="30880"/>
  <c r="AS32" i="30880" s="1"/>
  <c r="AR33" i="30880"/>
  <c r="AS33" i="30880" s="1"/>
  <c r="AR34" i="30880"/>
  <c r="AS34" i="30880" s="1"/>
  <c r="AR35" i="30880"/>
  <c r="AS35" i="30880" s="1"/>
  <c r="AR36" i="30880"/>
  <c r="AS36" i="30880" s="1"/>
  <c r="AR37" i="30880"/>
  <c r="AS37" i="30880" s="1"/>
  <c r="AR38" i="30880"/>
  <c r="AS38" i="30880" s="1"/>
  <c r="AR39" i="30880"/>
  <c r="AS39" i="30880" s="1"/>
  <c r="AR40" i="30880"/>
  <c r="AS40" i="30880" s="1"/>
  <c r="AR41" i="30880"/>
  <c r="AS41" i="30880" s="1"/>
  <c r="AR42" i="30880"/>
  <c r="AS42" i="30880" s="1"/>
  <c r="AR43" i="30880"/>
  <c r="AS43" i="30880" s="1"/>
  <c r="AR44" i="30880"/>
  <c r="AS44" i="30880" s="1"/>
  <c r="AR45" i="30880"/>
  <c r="AS45" i="30880" s="1"/>
  <c r="AR46" i="30880"/>
  <c r="AS46" i="30880" s="1"/>
  <c r="AR47" i="30880"/>
  <c r="AS47" i="30880" s="1"/>
  <c r="AR48" i="30880"/>
  <c r="AS48" i="30880" s="1"/>
  <c r="AR49" i="30880"/>
  <c r="AS49" i="30880" s="1"/>
  <c r="AR50" i="30880"/>
  <c r="AS50" i="30880" s="1"/>
  <c r="AR51" i="30880"/>
  <c r="AS51" i="30880" s="1"/>
  <c r="AR52" i="30880"/>
  <c r="AS52" i="30880" s="1"/>
  <c r="AR53" i="30880"/>
  <c r="AS53" i="30880" s="1"/>
  <c r="AR54" i="30880"/>
  <c r="AS54" i="30880" s="1"/>
  <c r="AR55" i="30880"/>
  <c r="AS55" i="30880" s="1"/>
  <c r="AR56" i="30880"/>
  <c r="AS56" i="30880" s="1"/>
  <c r="AR57" i="30880"/>
  <c r="AS57" i="30880" s="1"/>
  <c r="AR58" i="30880"/>
  <c r="AS58" i="30880" s="1"/>
  <c r="AR59" i="30880"/>
  <c r="AS59" i="30880" s="1"/>
  <c r="AR60" i="30880"/>
  <c r="AS60" i="30880" s="1"/>
  <c r="AR61" i="30880"/>
  <c r="AS61" i="30880" s="1"/>
  <c r="AR62" i="30880"/>
  <c r="AS62" i="30880" s="1"/>
  <c r="AR63" i="30880"/>
  <c r="AS63" i="30880" s="1"/>
  <c r="AR64" i="30880"/>
  <c r="AS64" i="30880" s="1"/>
  <c r="AR65" i="30880"/>
  <c r="AS65" i="30880" s="1"/>
  <c r="AR66" i="30880"/>
  <c r="AS66" i="30880" s="1"/>
  <c r="AR67" i="30880"/>
  <c r="AS67" i="30880" s="1"/>
  <c r="AR68" i="30880"/>
  <c r="AS68" i="30880" s="1"/>
  <c r="AR69" i="30880"/>
  <c r="AS69" i="30880" s="1"/>
  <c r="AR70" i="30880"/>
  <c r="AS70" i="30880" s="1"/>
  <c r="AR71" i="30880"/>
  <c r="AS71" i="30880" s="1"/>
  <c r="AR72" i="30880"/>
  <c r="AS72" i="30880" s="1"/>
  <c r="AR73" i="30880"/>
  <c r="AS73" i="30880" s="1"/>
  <c r="AR74" i="30880"/>
  <c r="AS74" i="30880" s="1"/>
  <c r="AR75" i="30880"/>
  <c r="AS75" i="30880" s="1"/>
  <c r="AR76" i="30880"/>
  <c r="AS76" i="30880" s="1"/>
  <c r="AR77" i="30880"/>
  <c r="AS77" i="30880" s="1"/>
  <c r="AP4" i="30880"/>
  <c r="AQ4" i="30880" s="1"/>
  <c r="AP5" i="30880"/>
  <c r="AQ5" i="30880" s="1"/>
  <c r="AP6" i="30880"/>
  <c r="AQ6" i="30880" s="1"/>
  <c r="AP7" i="30880"/>
  <c r="AQ7" i="30880" s="1"/>
  <c r="AP8" i="30880"/>
  <c r="AQ8" i="30880" s="1"/>
  <c r="AP9" i="30880"/>
  <c r="AQ9" i="30880" s="1"/>
  <c r="AP10" i="30880"/>
  <c r="AQ10" i="30880" s="1"/>
  <c r="AP11" i="30880"/>
  <c r="AQ11" i="30880" s="1"/>
  <c r="AP12" i="30880"/>
  <c r="AQ12" i="30880" s="1"/>
  <c r="AP13" i="30880"/>
  <c r="AQ13" i="30880" s="1"/>
  <c r="AP14" i="30880"/>
  <c r="AQ14" i="30880" s="1"/>
  <c r="AP15" i="30880"/>
  <c r="AQ15" i="30880" s="1"/>
  <c r="AP16" i="30880"/>
  <c r="AQ16" i="30880" s="1"/>
  <c r="AP17" i="30880"/>
  <c r="AQ17" i="30880" s="1"/>
  <c r="AP18" i="30880"/>
  <c r="AQ18" i="30880" s="1"/>
  <c r="AP19" i="30880"/>
  <c r="AQ19" i="30880" s="1"/>
  <c r="AP20" i="30880"/>
  <c r="AQ20" i="30880" s="1"/>
  <c r="AP21" i="30880"/>
  <c r="AQ21" i="30880" s="1"/>
  <c r="AP22" i="30880"/>
  <c r="AQ22" i="30880" s="1"/>
  <c r="AP23" i="30880"/>
  <c r="AQ23" i="30880" s="1"/>
  <c r="AP24" i="30880"/>
  <c r="AQ24" i="30880" s="1"/>
  <c r="AP25" i="30880"/>
  <c r="AQ25" i="30880" s="1"/>
  <c r="AP26" i="30880"/>
  <c r="AQ26" i="30880" s="1"/>
  <c r="AP27" i="30880"/>
  <c r="AQ27" i="30880" s="1"/>
  <c r="AP28" i="30880"/>
  <c r="AQ28" i="30880" s="1"/>
  <c r="AP29" i="30880"/>
  <c r="AQ29" i="30880" s="1"/>
  <c r="AP30" i="30880"/>
  <c r="AQ30" i="30880" s="1"/>
  <c r="AP31" i="30880"/>
  <c r="AQ31" i="30880" s="1"/>
  <c r="AP32" i="30880"/>
  <c r="AQ32" i="30880" s="1"/>
  <c r="AP33" i="30880"/>
  <c r="AQ33" i="30880" s="1"/>
  <c r="AP34" i="30880"/>
  <c r="AQ34" i="30880" s="1"/>
  <c r="AP35" i="30880"/>
  <c r="AQ35" i="30880" s="1"/>
  <c r="AP36" i="30880"/>
  <c r="AQ36" i="30880" s="1"/>
  <c r="AP37" i="30880"/>
  <c r="AQ37" i="30880" s="1"/>
  <c r="AP38" i="30880"/>
  <c r="AQ38" i="30880" s="1"/>
  <c r="AP39" i="30880"/>
  <c r="AQ39" i="30880" s="1"/>
  <c r="AP40" i="30880"/>
  <c r="AQ40" i="30880" s="1"/>
  <c r="AP41" i="30880"/>
  <c r="AQ41" i="30880" s="1"/>
  <c r="AP42" i="30880"/>
  <c r="AQ42" i="30880" s="1"/>
  <c r="AP43" i="30880"/>
  <c r="AQ43" i="30880" s="1"/>
  <c r="AP44" i="30880"/>
  <c r="AQ44" i="30880" s="1"/>
  <c r="AP45" i="30880"/>
  <c r="AQ45" i="30880" s="1"/>
  <c r="AP46" i="30880"/>
  <c r="AQ46" i="30880" s="1"/>
  <c r="AP47" i="30880"/>
  <c r="AQ47" i="30880" s="1"/>
  <c r="AP48" i="30880"/>
  <c r="AQ48" i="30880" s="1"/>
  <c r="AP49" i="30880"/>
  <c r="AQ49" i="30880" s="1"/>
  <c r="AP50" i="30880"/>
  <c r="AQ50" i="30880" s="1"/>
  <c r="AP51" i="30880"/>
  <c r="AQ51" i="30880" s="1"/>
  <c r="AP52" i="30880"/>
  <c r="AQ52" i="30880" s="1"/>
  <c r="AP53" i="30880"/>
  <c r="AQ53" i="30880" s="1"/>
  <c r="AP54" i="30880"/>
  <c r="AQ54" i="30880" s="1"/>
  <c r="AP55" i="30880"/>
  <c r="AQ55" i="30880" s="1"/>
  <c r="AP56" i="30880"/>
  <c r="AQ56" i="30880" s="1"/>
  <c r="AP57" i="30880"/>
  <c r="AQ57" i="30880" s="1"/>
  <c r="AP58" i="30880"/>
  <c r="AQ58" i="30880" s="1"/>
  <c r="AP59" i="30880"/>
  <c r="AQ59" i="30880" s="1"/>
  <c r="AP60" i="30880"/>
  <c r="AQ60" i="30880" s="1"/>
  <c r="AP61" i="30880"/>
  <c r="AQ61" i="30880" s="1"/>
  <c r="AP62" i="30880"/>
  <c r="AQ62" i="30880" s="1"/>
  <c r="AP63" i="30880"/>
  <c r="AQ63" i="30880" s="1"/>
  <c r="AP64" i="30880"/>
  <c r="AQ64" i="30880" s="1"/>
  <c r="AP65" i="30880"/>
  <c r="AQ65" i="30880" s="1"/>
  <c r="AP66" i="30880"/>
  <c r="AQ66" i="30880" s="1"/>
  <c r="AP67" i="30880"/>
  <c r="AQ67" i="30880" s="1"/>
  <c r="AP68" i="30880"/>
  <c r="AQ68" i="30880" s="1"/>
  <c r="AP69" i="30880"/>
  <c r="AQ69" i="30880" s="1"/>
  <c r="AP70" i="30880"/>
  <c r="AQ70" i="30880" s="1"/>
  <c r="AP71" i="30880"/>
  <c r="AQ71" i="30880" s="1"/>
  <c r="AP72" i="30880"/>
  <c r="AQ72" i="30880" s="1"/>
  <c r="AP73" i="30880"/>
  <c r="AQ73" i="30880" s="1"/>
  <c r="AP74" i="30880"/>
  <c r="AQ74" i="30880" s="1"/>
  <c r="AP75" i="30880"/>
  <c r="AQ75" i="30880" s="1"/>
  <c r="AP76" i="30880"/>
  <c r="AQ76" i="30880" s="1"/>
  <c r="AP77" i="30880"/>
  <c r="AQ77" i="30880" s="1"/>
  <c r="AN4" i="30880"/>
  <c r="AO4" i="30880" s="1"/>
  <c r="AN5" i="30880"/>
  <c r="AO5" i="30880" s="1"/>
  <c r="AN6" i="30880"/>
  <c r="AO6" i="30880" s="1"/>
  <c r="AN7" i="30880"/>
  <c r="AO7" i="30880" s="1"/>
  <c r="AN8" i="30880"/>
  <c r="AO8" i="30880" s="1"/>
  <c r="AN9" i="30880"/>
  <c r="AO9" i="30880" s="1"/>
  <c r="AN10" i="30880"/>
  <c r="AO10" i="30880" s="1"/>
  <c r="AN11" i="30880"/>
  <c r="AO11" i="30880" s="1"/>
  <c r="AN12" i="30880"/>
  <c r="AO12" i="30880" s="1"/>
  <c r="AN13" i="30880"/>
  <c r="AO13" i="30880" s="1"/>
  <c r="AN14" i="30880"/>
  <c r="AO14" i="30880" s="1"/>
  <c r="AN15" i="30880"/>
  <c r="AO15" i="30880" s="1"/>
  <c r="AN16" i="30880"/>
  <c r="AO16" i="30880" s="1"/>
  <c r="AN17" i="30880"/>
  <c r="AO17" i="30880" s="1"/>
  <c r="AN18" i="30880"/>
  <c r="AO18" i="30880" s="1"/>
  <c r="AN19" i="30880"/>
  <c r="AO19" i="30880" s="1"/>
  <c r="AN20" i="30880"/>
  <c r="AO20" i="30880" s="1"/>
  <c r="AN21" i="30880"/>
  <c r="AO21" i="30880" s="1"/>
  <c r="AN22" i="30880"/>
  <c r="AO22" i="30880" s="1"/>
  <c r="AN23" i="30880"/>
  <c r="AO23" i="30880" s="1"/>
  <c r="AN24" i="30880"/>
  <c r="AO24" i="30880" s="1"/>
  <c r="AN25" i="30880"/>
  <c r="AO25" i="30880" s="1"/>
  <c r="AN26" i="30880"/>
  <c r="AO26" i="30880" s="1"/>
  <c r="AN27" i="30880"/>
  <c r="AO27" i="30880" s="1"/>
  <c r="AN28" i="30880"/>
  <c r="AO28" i="30880" s="1"/>
  <c r="AN29" i="30880"/>
  <c r="AO29" i="30880" s="1"/>
  <c r="AN30" i="30880"/>
  <c r="AO30" i="30880" s="1"/>
  <c r="AN31" i="30880"/>
  <c r="AO31" i="30880" s="1"/>
  <c r="AN32" i="30880"/>
  <c r="AO32" i="30880" s="1"/>
  <c r="AN33" i="30880"/>
  <c r="AO33" i="30880" s="1"/>
  <c r="AN34" i="30880"/>
  <c r="AO34" i="30880" s="1"/>
  <c r="AN35" i="30880"/>
  <c r="AO35" i="30880" s="1"/>
  <c r="AN36" i="30880"/>
  <c r="AO36" i="30880" s="1"/>
  <c r="AN37" i="30880"/>
  <c r="AO37" i="30880" s="1"/>
  <c r="AN38" i="30880"/>
  <c r="AO38" i="30880" s="1"/>
  <c r="AN39" i="30880"/>
  <c r="AO39" i="30880" s="1"/>
  <c r="AN40" i="30880"/>
  <c r="AO40" i="30880" s="1"/>
  <c r="AN41" i="30880"/>
  <c r="AO41" i="30880" s="1"/>
  <c r="AN42" i="30880"/>
  <c r="AO42" i="30880" s="1"/>
  <c r="AN43" i="30880"/>
  <c r="AO43" i="30880" s="1"/>
  <c r="AN44" i="30880"/>
  <c r="AO44" i="30880" s="1"/>
  <c r="AN45" i="30880"/>
  <c r="AO45" i="30880" s="1"/>
  <c r="AN46" i="30880"/>
  <c r="AO46" i="30880" s="1"/>
  <c r="AN47" i="30880"/>
  <c r="AO47" i="30880" s="1"/>
  <c r="AN48" i="30880"/>
  <c r="AO48" i="30880" s="1"/>
  <c r="AN49" i="30880"/>
  <c r="AO49" i="30880" s="1"/>
  <c r="AN50" i="30880"/>
  <c r="AO50" i="30880" s="1"/>
  <c r="AN51" i="30880"/>
  <c r="AO51" i="30880" s="1"/>
  <c r="AN52" i="30880"/>
  <c r="AO52" i="30880" s="1"/>
  <c r="AN53" i="30880"/>
  <c r="AO53" i="30880" s="1"/>
  <c r="AN54" i="30880"/>
  <c r="AO54" i="30880" s="1"/>
  <c r="AN55" i="30880"/>
  <c r="AO55" i="30880" s="1"/>
  <c r="AN56" i="30880"/>
  <c r="AO56" i="30880" s="1"/>
  <c r="AN57" i="30880"/>
  <c r="AO57" i="30880" s="1"/>
  <c r="AN58" i="30880"/>
  <c r="AO58" i="30880" s="1"/>
  <c r="AN59" i="30880"/>
  <c r="AO59" i="30880" s="1"/>
  <c r="AN60" i="30880"/>
  <c r="AO60" i="30880" s="1"/>
  <c r="AN61" i="30880"/>
  <c r="AO61" i="30880" s="1"/>
  <c r="AN62" i="30880"/>
  <c r="AO62" i="30880" s="1"/>
  <c r="AN63" i="30880"/>
  <c r="AO63" i="30880" s="1"/>
  <c r="AN64" i="30880"/>
  <c r="AO64" i="30880" s="1"/>
  <c r="AN65" i="30880"/>
  <c r="AO65" i="30880" s="1"/>
  <c r="AN66" i="30880"/>
  <c r="AO66" i="30880" s="1"/>
  <c r="AN67" i="30880"/>
  <c r="AO67" i="30880" s="1"/>
  <c r="AN68" i="30880"/>
  <c r="AO68" i="30880" s="1"/>
  <c r="AN69" i="30880"/>
  <c r="AO69" i="30880" s="1"/>
  <c r="AN70" i="30880"/>
  <c r="AO70" i="30880" s="1"/>
  <c r="AN71" i="30880"/>
  <c r="AO71" i="30880" s="1"/>
  <c r="AN72" i="30880"/>
  <c r="AO72" i="30880" s="1"/>
  <c r="AN73" i="30880"/>
  <c r="AO73" i="30880" s="1"/>
  <c r="AN74" i="30880"/>
  <c r="AO74" i="30880" s="1"/>
  <c r="AN75" i="30880"/>
  <c r="AO75" i="30880" s="1"/>
  <c r="AN76" i="30880"/>
  <c r="AO76" i="30880" s="1"/>
  <c r="AN77" i="30880"/>
  <c r="AO77" i="30880" s="1"/>
  <c r="AL4" i="30880"/>
  <c r="AM4" i="30880" s="1"/>
  <c r="AL5" i="30880"/>
  <c r="AM5" i="30880" s="1"/>
  <c r="AL6" i="30880"/>
  <c r="AM6" i="30880" s="1"/>
  <c r="AL7" i="30880"/>
  <c r="AM7" i="30880" s="1"/>
  <c r="AL8" i="30880"/>
  <c r="AM8" i="30880" s="1"/>
  <c r="AL9" i="30880"/>
  <c r="AM9" i="30880" s="1"/>
  <c r="AL10" i="30880"/>
  <c r="AM10" i="30880" s="1"/>
  <c r="AL11" i="30880"/>
  <c r="AM11" i="30880" s="1"/>
  <c r="AL12" i="30880"/>
  <c r="AM12" i="30880" s="1"/>
  <c r="AL13" i="30880"/>
  <c r="AM13" i="30880" s="1"/>
  <c r="AL14" i="30880"/>
  <c r="AM14" i="30880" s="1"/>
  <c r="AL15" i="30880"/>
  <c r="AM15" i="30880" s="1"/>
  <c r="AL16" i="30880"/>
  <c r="AM16" i="30880" s="1"/>
  <c r="AL17" i="30880"/>
  <c r="AM17" i="30880" s="1"/>
  <c r="AL18" i="30880"/>
  <c r="AM18" i="30880" s="1"/>
  <c r="AL19" i="30880"/>
  <c r="AM19" i="30880" s="1"/>
  <c r="AL20" i="30880"/>
  <c r="AM20" i="30880" s="1"/>
  <c r="AL21" i="30880"/>
  <c r="AM21" i="30880" s="1"/>
  <c r="AL22" i="30880"/>
  <c r="AM22" i="30880" s="1"/>
  <c r="AL23" i="30880"/>
  <c r="AM23" i="30880" s="1"/>
  <c r="AL24" i="30880"/>
  <c r="AM24" i="30880" s="1"/>
  <c r="AL25" i="30880"/>
  <c r="AM25" i="30880" s="1"/>
  <c r="AL26" i="30880"/>
  <c r="AM26" i="30880" s="1"/>
  <c r="AL27" i="30880"/>
  <c r="AM27" i="30880" s="1"/>
  <c r="AL28" i="30880"/>
  <c r="AM28" i="30880" s="1"/>
  <c r="AL29" i="30880"/>
  <c r="AM29" i="30880" s="1"/>
  <c r="AL30" i="30880"/>
  <c r="AM30" i="30880" s="1"/>
  <c r="AL31" i="30880"/>
  <c r="AM31" i="30880" s="1"/>
  <c r="AL32" i="30880"/>
  <c r="AM32" i="30880" s="1"/>
  <c r="AL33" i="30880"/>
  <c r="AM33" i="30880" s="1"/>
  <c r="AL34" i="30880"/>
  <c r="AM34" i="30880" s="1"/>
  <c r="AL35" i="30880"/>
  <c r="AM35" i="30880" s="1"/>
  <c r="AL36" i="30880"/>
  <c r="AM36" i="30880" s="1"/>
  <c r="AL37" i="30880"/>
  <c r="AM37" i="30880" s="1"/>
  <c r="AL38" i="30880"/>
  <c r="AM38" i="30880" s="1"/>
  <c r="AL39" i="30880"/>
  <c r="AM39" i="30880" s="1"/>
  <c r="AL40" i="30880"/>
  <c r="AM40" i="30880" s="1"/>
  <c r="AL41" i="30880"/>
  <c r="AM41" i="30880" s="1"/>
  <c r="AL42" i="30880"/>
  <c r="AM42" i="30880" s="1"/>
  <c r="AL43" i="30880"/>
  <c r="AM43" i="30880" s="1"/>
  <c r="AL44" i="30880"/>
  <c r="AM44" i="30880" s="1"/>
  <c r="AL45" i="30880"/>
  <c r="AM45" i="30880" s="1"/>
  <c r="AL46" i="30880"/>
  <c r="AM46" i="30880" s="1"/>
  <c r="AL47" i="30880"/>
  <c r="AM47" i="30880" s="1"/>
  <c r="AL48" i="30880"/>
  <c r="AM48" i="30880" s="1"/>
  <c r="AL49" i="30880"/>
  <c r="AM49" i="30880" s="1"/>
  <c r="AL50" i="30880"/>
  <c r="AM50" i="30880" s="1"/>
  <c r="AL51" i="30880"/>
  <c r="AM51" i="30880" s="1"/>
  <c r="AL52" i="30880"/>
  <c r="AM52" i="30880" s="1"/>
  <c r="AL53" i="30880"/>
  <c r="AM53" i="30880" s="1"/>
  <c r="AL54" i="30880"/>
  <c r="AM54" i="30880" s="1"/>
  <c r="AL55" i="30880"/>
  <c r="AM55" i="30880" s="1"/>
  <c r="AL56" i="30880"/>
  <c r="AM56" i="30880" s="1"/>
  <c r="AL57" i="30880"/>
  <c r="AM57" i="30880" s="1"/>
  <c r="AL58" i="30880"/>
  <c r="AM58" i="30880" s="1"/>
  <c r="AL59" i="30880"/>
  <c r="AM59" i="30880" s="1"/>
  <c r="AL60" i="30880"/>
  <c r="AM60" i="30880" s="1"/>
  <c r="AL61" i="30880"/>
  <c r="AM61" i="30880" s="1"/>
  <c r="AL62" i="30880"/>
  <c r="AM62" i="30880" s="1"/>
  <c r="AL63" i="30880"/>
  <c r="AM63" i="30880" s="1"/>
  <c r="AL64" i="30880"/>
  <c r="AM64" i="30880" s="1"/>
  <c r="AL65" i="30880"/>
  <c r="AM65" i="30880" s="1"/>
  <c r="AL66" i="30880"/>
  <c r="AM66" i="30880" s="1"/>
  <c r="AL67" i="30880"/>
  <c r="AM67" i="30880" s="1"/>
  <c r="AL68" i="30880"/>
  <c r="AM68" i="30880" s="1"/>
  <c r="AL69" i="30880"/>
  <c r="AM69" i="30880" s="1"/>
  <c r="AL70" i="30880"/>
  <c r="AM70" i="30880" s="1"/>
  <c r="AL71" i="30880"/>
  <c r="AM71" i="30880" s="1"/>
  <c r="AL72" i="30880"/>
  <c r="AM72" i="30880" s="1"/>
  <c r="AL73" i="30880"/>
  <c r="AM73" i="30880" s="1"/>
  <c r="AL74" i="30880"/>
  <c r="AM74" i="30880" s="1"/>
  <c r="AL75" i="30880"/>
  <c r="AM75" i="30880" s="1"/>
  <c r="AL76" i="30880"/>
  <c r="AM76" i="30880" s="1"/>
  <c r="AL77" i="30880"/>
  <c r="AM77" i="30880" s="1"/>
  <c r="AJ4" i="30880"/>
  <c r="AK4" i="30880" s="1"/>
  <c r="AJ5" i="30880"/>
  <c r="AK5" i="30880" s="1"/>
  <c r="AJ6" i="30880"/>
  <c r="AK6" i="30880" s="1"/>
  <c r="AJ7" i="30880"/>
  <c r="AK7" i="30880" s="1"/>
  <c r="AJ8" i="30880"/>
  <c r="AK8" i="30880" s="1"/>
  <c r="AJ9" i="30880"/>
  <c r="AK9" i="30880" s="1"/>
  <c r="AJ10" i="30880"/>
  <c r="AK10" i="30880" s="1"/>
  <c r="AJ11" i="30880"/>
  <c r="AK11" i="30880" s="1"/>
  <c r="AJ12" i="30880"/>
  <c r="AK12" i="30880" s="1"/>
  <c r="AJ13" i="30880"/>
  <c r="AK13" i="30880" s="1"/>
  <c r="AJ14" i="30880"/>
  <c r="AK14" i="30880" s="1"/>
  <c r="AJ15" i="30880"/>
  <c r="AK15" i="30880" s="1"/>
  <c r="AJ16" i="30880"/>
  <c r="AK16" i="30880" s="1"/>
  <c r="AJ17" i="30880"/>
  <c r="AK17" i="30880" s="1"/>
  <c r="AJ18" i="30880"/>
  <c r="AK18" i="30880" s="1"/>
  <c r="AJ19" i="30880"/>
  <c r="AK19" i="30880" s="1"/>
  <c r="AJ20" i="30880"/>
  <c r="AK20" i="30880" s="1"/>
  <c r="AJ21" i="30880"/>
  <c r="AK21" i="30880" s="1"/>
  <c r="AJ22" i="30880"/>
  <c r="AK22" i="30880" s="1"/>
  <c r="AJ23" i="30880"/>
  <c r="AK23" i="30880" s="1"/>
  <c r="AJ24" i="30880"/>
  <c r="AK24" i="30880" s="1"/>
  <c r="AJ25" i="30880"/>
  <c r="AK25" i="30880" s="1"/>
  <c r="AJ26" i="30880"/>
  <c r="AK26" i="30880" s="1"/>
  <c r="AJ27" i="30880"/>
  <c r="AK27" i="30880" s="1"/>
  <c r="AJ28" i="30880"/>
  <c r="AK28" i="30880" s="1"/>
  <c r="AJ29" i="30880"/>
  <c r="AK29" i="30880" s="1"/>
  <c r="AJ30" i="30880"/>
  <c r="AK30" i="30880" s="1"/>
  <c r="AJ31" i="30880"/>
  <c r="AK31" i="30880" s="1"/>
  <c r="AJ32" i="30880"/>
  <c r="AK32" i="30880" s="1"/>
  <c r="AJ33" i="30880"/>
  <c r="AK33" i="30880" s="1"/>
  <c r="AJ34" i="30880"/>
  <c r="AK34" i="30880" s="1"/>
  <c r="AJ35" i="30880"/>
  <c r="AK35" i="30880" s="1"/>
  <c r="AJ36" i="30880"/>
  <c r="AK36" i="30880" s="1"/>
  <c r="AJ37" i="30880"/>
  <c r="AK37" i="30880" s="1"/>
  <c r="AJ38" i="30880"/>
  <c r="AK38" i="30880" s="1"/>
  <c r="AJ39" i="30880"/>
  <c r="AK39" i="30880" s="1"/>
  <c r="AJ40" i="30880"/>
  <c r="AK40" i="30880" s="1"/>
  <c r="AJ41" i="30880"/>
  <c r="AK41" i="30880" s="1"/>
  <c r="AJ42" i="30880"/>
  <c r="AK42" i="30880" s="1"/>
  <c r="AJ43" i="30880"/>
  <c r="AK43" i="30880" s="1"/>
  <c r="AJ44" i="30880"/>
  <c r="AK44" i="30880" s="1"/>
  <c r="AJ45" i="30880"/>
  <c r="AK45" i="30880" s="1"/>
  <c r="AJ46" i="30880"/>
  <c r="AK46" i="30880" s="1"/>
  <c r="AJ47" i="30880"/>
  <c r="AK47" i="30880" s="1"/>
  <c r="AJ48" i="30880"/>
  <c r="AK48" i="30880" s="1"/>
  <c r="AJ49" i="30880"/>
  <c r="AK49" i="30880" s="1"/>
  <c r="AJ50" i="30880"/>
  <c r="AK50" i="30880" s="1"/>
  <c r="AJ51" i="30880"/>
  <c r="AK51" i="30880" s="1"/>
  <c r="AJ52" i="30880"/>
  <c r="AK52" i="30880" s="1"/>
  <c r="AJ53" i="30880"/>
  <c r="AK53" i="30880" s="1"/>
  <c r="AJ54" i="30880"/>
  <c r="AK54" i="30880" s="1"/>
  <c r="AJ55" i="30880"/>
  <c r="AK55" i="30880" s="1"/>
  <c r="AJ56" i="30880"/>
  <c r="AK56" i="30880" s="1"/>
  <c r="AJ57" i="30880"/>
  <c r="AK57" i="30880" s="1"/>
  <c r="AJ58" i="30880"/>
  <c r="AK58" i="30880" s="1"/>
  <c r="AJ59" i="30880"/>
  <c r="AK59" i="30880" s="1"/>
  <c r="AJ60" i="30880"/>
  <c r="AK60" i="30880" s="1"/>
  <c r="AJ61" i="30880"/>
  <c r="AK61" i="30880" s="1"/>
  <c r="AJ62" i="30880"/>
  <c r="AK62" i="30880" s="1"/>
  <c r="AJ63" i="30880"/>
  <c r="AK63" i="30880" s="1"/>
  <c r="AJ64" i="30880"/>
  <c r="AK64" i="30880" s="1"/>
  <c r="AJ65" i="30880"/>
  <c r="AK65" i="30880" s="1"/>
  <c r="AJ66" i="30880"/>
  <c r="AK66" i="30880" s="1"/>
  <c r="AJ67" i="30880"/>
  <c r="AK67" i="30880" s="1"/>
  <c r="AJ68" i="30880"/>
  <c r="AK68" i="30880" s="1"/>
  <c r="AJ69" i="30880"/>
  <c r="AK69" i="30880" s="1"/>
  <c r="AJ70" i="30880"/>
  <c r="AK70" i="30880" s="1"/>
  <c r="AJ71" i="30880"/>
  <c r="AK71" i="30880" s="1"/>
  <c r="AJ72" i="30880"/>
  <c r="AK72" i="30880" s="1"/>
  <c r="AJ73" i="30880"/>
  <c r="AK73" i="30880" s="1"/>
  <c r="AJ74" i="30880"/>
  <c r="AK74" i="30880" s="1"/>
  <c r="AJ75" i="30880"/>
  <c r="AK75" i="30880" s="1"/>
  <c r="AJ76" i="30880"/>
  <c r="AK76" i="30880" s="1"/>
  <c r="AJ77" i="30880"/>
  <c r="AK77" i="30880" s="1"/>
  <c r="AH4" i="30880"/>
  <c r="AI4" i="30880" s="1"/>
  <c r="AH5" i="30880"/>
  <c r="AI5" i="30880" s="1"/>
  <c r="AH6" i="30880"/>
  <c r="AI6" i="30880" s="1"/>
  <c r="AH7" i="30880"/>
  <c r="AI7" i="30880" s="1"/>
  <c r="AH8" i="30880"/>
  <c r="AI8" i="30880" s="1"/>
  <c r="AH9" i="30880"/>
  <c r="AI9" i="30880" s="1"/>
  <c r="AH10" i="30880"/>
  <c r="AI10" i="30880" s="1"/>
  <c r="AH11" i="30880"/>
  <c r="AI11" i="30880" s="1"/>
  <c r="AH12" i="30880"/>
  <c r="AI12" i="30880" s="1"/>
  <c r="AH13" i="30880"/>
  <c r="AI13" i="30880" s="1"/>
  <c r="AH14" i="30880"/>
  <c r="AI14" i="30880" s="1"/>
  <c r="AH15" i="30880"/>
  <c r="AI15" i="30880" s="1"/>
  <c r="AH16" i="30880"/>
  <c r="AI16" i="30880" s="1"/>
  <c r="AH17" i="30880"/>
  <c r="AI17" i="30880" s="1"/>
  <c r="AH18" i="30880"/>
  <c r="AI18" i="30880" s="1"/>
  <c r="AH19" i="30880"/>
  <c r="AI19" i="30880" s="1"/>
  <c r="AH20" i="30880"/>
  <c r="AI20" i="30880" s="1"/>
  <c r="AH21" i="30880"/>
  <c r="AI21" i="30880" s="1"/>
  <c r="AH22" i="30880"/>
  <c r="AI22" i="30880" s="1"/>
  <c r="AH23" i="30880"/>
  <c r="AI23" i="30880" s="1"/>
  <c r="AH24" i="30880"/>
  <c r="AI24" i="30880" s="1"/>
  <c r="AH25" i="30880"/>
  <c r="AI25" i="30880" s="1"/>
  <c r="AH26" i="30880"/>
  <c r="AI26" i="30880" s="1"/>
  <c r="AH27" i="30880"/>
  <c r="AI27" i="30880" s="1"/>
  <c r="AH28" i="30880"/>
  <c r="AI28" i="30880" s="1"/>
  <c r="AH29" i="30880"/>
  <c r="AI29" i="30880" s="1"/>
  <c r="AH30" i="30880"/>
  <c r="AI30" i="30880" s="1"/>
  <c r="AH31" i="30880"/>
  <c r="AI31" i="30880" s="1"/>
  <c r="AH32" i="30880"/>
  <c r="AI32" i="30880" s="1"/>
  <c r="AH33" i="30880"/>
  <c r="AI33" i="30880" s="1"/>
  <c r="AH34" i="30880"/>
  <c r="AI34" i="30880" s="1"/>
  <c r="AH35" i="30880"/>
  <c r="AI35" i="30880" s="1"/>
  <c r="AH36" i="30880"/>
  <c r="AI36" i="30880" s="1"/>
  <c r="AH37" i="30880"/>
  <c r="AI37" i="30880" s="1"/>
  <c r="AH38" i="30880"/>
  <c r="AI38" i="30880" s="1"/>
  <c r="AH39" i="30880"/>
  <c r="AI39" i="30880" s="1"/>
  <c r="AH40" i="30880"/>
  <c r="AI40" i="30880" s="1"/>
  <c r="AH41" i="30880"/>
  <c r="AI41" i="30880" s="1"/>
  <c r="AH42" i="30880"/>
  <c r="AI42" i="30880" s="1"/>
  <c r="AH43" i="30880"/>
  <c r="AI43" i="30880" s="1"/>
  <c r="AH44" i="30880"/>
  <c r="AI44" i="30880" s="1"/>
  <c r="AH45" i="30880"/>
  <c r="AI45" i="30880" s="1"/>
  <c r="AH46" i="30880"/>
  <c r="AI46" i="30880" s="1"/>
  <c r="AH47" i="30880"/>
  <c r="AI47" i="30880" s="1"/>
  <c r="AH48" i="30880"/>
  <c r="AI48" i="30880" s="1"/>
  <c r="AH49" i="30880"/>
  <c r="AI49" i="30880" s="1"/>
  <c r="AH50" i="30880"/>
  <c r="AI50" i="30880" s="1"/>
  <c r="AH51" i="30880"/>
  <c r="AI51" i="30880" s="1"/>
  <c r="AH52" i="30880"/>
  <c r="AI52" i="30880" s="1"/>
  <c r="AH53" i="30880"/>
  <c r="AI53" i="30880" s="1"/>
  <c r="AH54" i="30880"/>
  <c r="AI54" i="30880" s="1"/>
  <c r="AH55" i="30880"/>
  <c r="AI55" i="30880" s="1"/>
  <c r="AH56" i="30880"/>
  <c r="AI56" i="30880" s="1"/>
  <c r="AH57" i="30880"/>
  <c r="AI57" i="30880" s="1"/>
  <c r="AH58" i="30880"/>
  <c r="AI58" i="30880" s="1"/>
  <c r="AH59" i="30880"/>
  <c r="AI59" i="30880" s="1"/>
  <c r="AH60" i="30880"/>
  <c r="AI60" i="30880" s="1"/>
  <c r="AH61" i="30880"/>
  <c r="AI61" i="30880" s="1"/>
  <c r="AH62" i="30880"/>
  <c r="AI62" i="30880" s="1"/>
  <c r="AH63" i="30880"/>
  <c r="AI63" i="30880" s="1"/>
  <c r="AH64" i="30880"/>
  <c r="AI64" i="30880" s="1"/>
  <c r="AH65" i="30880"/>
  <c r="AI65" i="30880" s="1"/>
  <c r="AH66" i="30880"/>
  <c r="AI66" i="30880" s="1"/>
  <c r="AH67" i="30880"/>
  <c r="AI67" i="30880" s="1"/>
  <c r="AH68" i="30880"/>
  <c r="AI68" i="30880" s="1"/>
  <c r="AH69" i="30880"/>
  <c r="AI69" i="30880" s="1"/>
  <c r="AH70" i="30880"/>
  <c r="AI70" i="30880" s="1"/>
  <c r="AH71" i="30880"/>
  <c r="AI71" i="30880" s="1"/>
  <c r="AH72" i="30880"/>
  <c r="AI72" i="30880" s="1"/>
  <c r="AH73" i="30880"/>
  <c r="AI73" i="30880" s="1"/>
  <c r="AH74" i="30880"/>
  <c r="AI74" i="30880" s="1"/>
  <c r="AH75" i="30880"/>
  <c r="AI75" i="30880" s="1"/>
  <c r="AH76" i="30880"/>
  <c r="AI76" i="30880" s="1"/>
  <c r="AH77" i="30880"/>
  <c r="AI77" i="30880" s="1"/>
  <c r="AF4" i="30880"/>
  <c r="AG4" i="30880" s="1"/>
  <c r="AF5" i="30880"/>
  <c r="AG5" i="30880" s="1"/>
  <c r="AF6" i="30880"/>
  <c r="AG6" i="30880" s="1"/>
  <c r="AF7" i="30880"/>
  <c r="AG7" i="30880" s="1"/>
  <c r="AF8" i="30880"/>
  <c r="AG8" i="30880" s="1"/>
  <c r="AF9" i="30880"/>
  <c r="AG9" i="30880" s="1"/>
  <c r="AF10" i="30880"/>
  <c r="AG10" i="30880" s="1"/>
  <c r="AF11" i="30880"/>
  <c r="AG11" i="30880" s="1"/>
  <c r="AF12" i="30880"/>
  <c r="AG12" i="30880" s="1"/>
  <c r="AF13" i="30880"/>
  <c r="AG13" i="30880" s="1"/>
  <c r="AF14" i="30880"/>
  <c r="AG14" i="30880" s="1"/>
  <c r="AF15" i="30880"/>
  <c r="AG15" i="30880" s="1"/>
  <c r="AF16" i="30880"/>
  <c r="AG16" i="30880" s="1"/>
  <c r="AF17" i="30880"/>
  <c r="AG17" i="30880" s="1"/>
  <c r="AF18" i="30880"/>
  <c r="AG18" i="30880" s="1"/>
  <c r="AF19" i="30880"/>
  <c r="AG19" i="30880" s="1"/>
  <c r="AF20" i="30880"/>
  <c r="AG20" i="30880" s="1"/>
  <c r="AF21" i="30880"/>
  <c r="AG21" i="30880" s="1"/>
  <c r="AF22" i="30880"/>
  <c r="AG22" i="30880" s="1"/>
  <c r="AF23" i="30880"/>
  <c r="AG23" i="30880" s="1"/>
  <c r="AF24" i="30880"/>
  <c r="AG24" i="30880" s="1"/>
  <c r="AF25" i="30880"/>
  <c r="AG25" i="30880" s="1"/>
  <c r="AF26" i="30880"/>
  <c r="AG26" i="30880" s="1"/>
  <c r="AF27" i="30880"/>
  <c r="AG27" i="30880" s="1"/>
  <c r="AF28" i="30880"/>
  <c r="AG28" i="30880" s="1"/>
  <c r="AF29" i="30880"/>
  <c r="AG29" i="30880" s="1"/>
  <c r="AF30" i="30880"/>
  <c r="AG30" i="30880" s="1"/>
  <c r="AF31" i="30880"/>
  <c r="AG31" i="30880" s="1"/>
  <c r="AF32" i="30880"/>
  <c r="AG32" i="30880" s="1"/>
  <c r="AF33" i="30880"/>
  <c r="AG33" i="30880" s="1"/>
  <c r="AF34" i="30880"/>
  <c r="AG34" i="30880" s="1"/>
  <c r="AF35" i="30880"/>
  <c r="AG35" i="30880" s="1"/>
  <c r="AF36" i="30880"/>
  <c r="AG36" i="30880" s="1"/>
  <c r="AF37" i="30880"/>
  <c r="AG37" i="30880" s="1"/>
  <c r="AF38" i="30880"/>
  <c r="AG38" i="30880" s="1"/>
  <c r="AF39" i="30880"/>
  <c r="AG39" i="30880" s="1"/>
  <c r="AF40" i="30880"/>
  <c r="AG40" i="30880" s="1"/>
  <c r="AF41" i="30880"/>
  <c r="AG41" i="30880" s="1"/>
  <c r="AF42" i="30880"/>
  <c r="AG42" i="30880" s="1"/>
  <c r="AF43" i="30880"/>
  <c r="AG43" i="30880" s="1"/>
  <c r="AF44" i="30880"/>
  <c r="AG44" i="30880" s="1"/>
  <c r="AF45" i="30880"/>
  <c r="AG45" i="30880" s="1"/>
  <c r="AF46" i="30880"/>
  <c r="AG46" i="30880" s="1"/>
  <c r="AF47" i="30880"/>
  <c r="AG47" i="30880" s="1"/>
  <c r="AF48" i="30880"/>
  <c r="AG48" i="30880" s="1"/>
  <c r="AF49" i="30880"/>
  <c r="AG49" i="30880" s="1"/>
  <c r="AF50" i="30880"/>
  <c r="AG50" i="30880" s="1"/>
  <c r="AF51" i="30880"/>
  <c r="AG51" i="30880" s="1"/>
  <c r="AF52" i="30880"/>
  <c r="AG52" i="30880" s="1"/>
  <c r="AF53" i="30880"/>
  <c r="AG53" i="30880" s="1"/>
  <c r="AF54" i="30880"/>
  <c r="AG54" i="30880" s="1"/>
  <c r="AF55" i="30880"/>
  <c r="AG55" i="30880" s="1"/>
  <c r="AF56" i="30880"/>
  <c r="AG56" i="30880" s="1"/>
  <c r="AF57" i="30880"/>
  <c r="AG57" i="30880" s="1"/>
  <c r="AF58" i="30880"/>
  <c r="AG58" i="30880" s="1"/>
  <c r="AF59" i="30880"/>
  <c r="AG59" i="30880" s="1"/>
  <c r="AF60" i="30880"/>
  <c r="AG60" i="30880" s="1"/>
  <c r="AF61" i="30880"/>
  <c r="AG61" i="30880" s="1"/>
  <c r="AF62" i="30880"/>
  <c r="AG62" i="30880" s="1"/>
  <c r="AF63" i="30880"/>
  <c r="AG63" i="30880" s="1"/>
  <c r="AF64" i="30880"/>
  <c r="AG64" i="30880" s="1"/>
  <c r="AF65" i="30880"/>
  <c r="AG65" i="30880" s="1"/>
  <c r="AF66" i="30880"/>
  <c r="AG66" i="30880" s="1"/>
  <c r="AF67" i="30880"/>
  <c r="AG67" i="30880" s="1"/>
  <c r="AF68" i="30880"/>
  <c r="AG68" i="30880" s="1"/>
  <c r="AF69" i="30880"/>
  <c r="AG69" i="30880" s="1"/>
  <c r="AF70" i="30880"/>
  <c r="AG70" i="30880" s="1"/>
  <c r="AF71" i="30880"/>
  <c r="AG71" i="30880" s="1"/>
  <c r="AF72" i="30880"/>
  <c r="AG72" i="30880" s="1"/>
  <c r="AF73" i="30880"/>
  <c r="AG73" i="30880" s="1"/>
  <c r="AF74" i="30880"/>
  <c r="AG74" i="30880" s="1"/>
  <c r="AF75" i="30880"/>
  <c r="AG75" i="30880" s="1"/>
  <c r="AF76" i="30880"/>
  <c r="AG76" i="30880" s="1"/>
  <c r="AF77" i="30880"/>
  <c r="AG77" i="30880" s="1"/>
  <c r="AD4" i="30880"/>
  <c r="AE4" i="30880" s="1"/>
  <c r="AD5" i="30880"/>
  <c r="AE5" i="30880" s="1"/>
  <c r="AD6" i="30880"/>
  <c r="AE6" i="30880" s="1"/>
  <c r="AD7" i="30880"/>
  <c r="AE7" i="30880" s="1"/>
  <c r="AD8" i="30880"/>
  <c r="AE8" i="30880" s="1"/>
  <c r="AD9" i="30880"/>
  <c r="AE9" i="30880" s="1"/>
  <c r="AD10" i="30880"/>
  <c r="AE10" i="30880" s="1"/>
  <c r="AD11" i="30880"/>
  <c r="AE11" i="30880" s="1"/>
  <c r="AD12" i="30880"/>
  <c r="AE12" i="30880" s="1"/>
  <c r="AD13" i="30880"/>
  <c r="AE13" i="30880" s="1"/>
  <c r="AD14" i="30880"/>
  <c r="AE14" i="30880" s="1"/>
  <c r="AD15" i="30880"/>
  <c r="AE15" i="30880" s="1"/>
  <c r="AD16" i="30880"/>
  <c r="AE16" i="30880" s="1"/>
  <c r="AD17" i="30880"/>
  <c r="AE17" i="30880" s="1"/>
  <c r="AD18" i="30880"/>
  <c r="AE18" i="30880" s="1"/>
  <c r="AD19" i="30880"/>
  <c r="AE19" i="30880" s="1"/>
  <c r="AD20" i="30880"/>
  <c r="AE20" i="30880" s="1"/>
  <c r="AD21" i="30880"/>
  <c r="AE21" i="30880" s="1"/>
  <c r="AD22" i="30880"/>
  <c r="AE22" i="30880" s="1"/>
  <c r="AD23" i="30880"/>
  <c r="AE23" i="30880" s="1"/>
  <c r="AD24" i="30880"/>
  <c r="AE24" i="30880" s="1"/>
  <c r="AD25" i="30880"/>
  <c r="AE25" i="30880" s="1"/>
  <c r="AD26" i="30880"/>
  <c r="AE26" i="30880" s="1"/>
  <c r="AD27" i="30880"/>
  <c r="AE27" i="30880" s="1"/>
  <c r="AD28" i="30880"/>
  <c r="AE28" i="30880" s="1"/>
  <c r="AD29" i="30880"/>
  <c r="AE29" i="30880" s="1"/>
  <c r="AD30" i="30880"/>
  <c r="AE30" i="30880" s="1"/>
  <c r="AD31" i="30880"/>
  <c r="AE31" i="30880" s="1"/>
  <c r="AD32" i="30880"/>
  <c r="AE32" i="30880" s="1"/>
  <c r="AD33" i="30880"/>
  <c r="AE33" i="30880" s="1"/>
  <c r="AD34" i="30880"/>
  <c r="AE34" i="30880" s="1"/>
  <c r="AD35" i="30880"/>
  <c r="AE35" i="30880" s="1"/>
  <c r="AD36" i="30880"/>
  <c r="AE36" i="30880" s="1"/>
  <c r="AD37" i="30880"/>
  <c r="AE37" i="30880" s="1"/>
  <c r="AD38" i="30880"/>
  <c r="AE38" i="30880" s="1"/>
  <c r="AD39" i="30880"/>
  <c r="AE39" i="30880" s="1"/>
  <c r="AD40" i="30880"/>
  <c r="AE40" i="30880" s="1"/>
  <c r="AD41" i="30880"/>
  <c r="AE41" i="30880" s="1"/>
  <c r="AD42" i="30880"/>
  <c r="AE42" i="30880" s="1"/>
  <c r="AD43" i="30880"/>
  <c r="AE43" i="30880" s="1"/>
  <c r="AD44" i="30880"/>
  <c r="AE44" i="30880" s="1"/>
  <c r="AD45" i="30880"/>
  <c r="AE45" i="30880" s="1"/>
  <c r="AD46" i="30880"/>
  <c r="AE46" i="30880" s="1"/>
  <c r="AD47" i="30880"/>
  <c r="AE47" i="30880" s="1"/>
  <c r="AD48" i="30880"/>
  <c r="AE48" i="30880" s="1"/>
  <c r="AD49" i="30880"/>
  <c r="AE49" i="30880" s="1"/>
  <c r="AD50" i="30880"/>
  <c r="AE50" i="30880" s="1"/>
  <c r="AD51" i="30880"/>
  <c r="AE51" i="30880" s="1"/>
  <c r="AD52" i="30880"/>
  <c r="AE52" i="30880" s="1"/>
  <c r="AD53" i="30880"/>
  <c r="AE53" i="30880" s="1"/>
  <c r="AD54" i="30880"/>
  <c r="AE54" i="30880" s="1"/>
  <c r="AD55" i="30880"/>
  <c r="AE55" i="30880" s="1"/>
  <c r="AD56" i="30880"/>
  <c r="AE56" i="30880" s="1"/>
  <c r="AD57" i="30880"/>
  <c r="AE57" i="30880" s="1"/>
  <c r="AD58" i="30880"/>
  <c r="AE58" i="30880" s="1"/>
  <c r="AD59" i="30880"/>
  <c r="AE59" i="30880" s="1"/>
  <c r="AD60" i="30880"/>
  <c r="AE60" i="30880" s="1"/>
  <c r="AD61" i="30880"/>
  <c r="AE61" i="30880" s="1"/>
  <c r="AD62" i="30880"/>
  <c r="AE62" i="30880" s="1"/>
  <c r="AD63" i="30880"/>
  <c r="AE63" i="30880" s="1"/>
  <c r="AD64" i="30880"/>
  <c r="AE64" i="30880" s="1"/>
  <c r="AD65" i="30880"/>
  <c r="AE65" i="30880" s="1"/>
  <c r="AD66" i="30880"/>
  <c r="AE66" i="30880" s="1"/>
  <c r="AD67" i="30880"/>
  <c r="AE67" i="30880" s="1"/>
  <c r="AD68" i="30880"/>
  <c r="AE68" i="30880" s="1"/>
  <c r="AD69" i="30880"/>
  <c r="AE69" i="30880" s="1"/>
  <c r="AD70" i="30880"/>
  <c r="AE70" i="30880" s="1"/>
  <c r="AD71" i="30880"/>
  <c r="AE71" i="30880" s="1"/>
  <c r="AD72" i="30880"/>
  <c r="AE72" i="30880" s="1"/>
  <c r="AD73" i="30880"/>
  <c r="AE73" i="30880" s="1"/>
  <c r="AD74" i="30880"/>
  <c r="AE74" i="30880" s="1"/>
  <c r="AD75" i="30880"/>
  <c r="AE75" i="30880" s="1"/>
  <c r="AD76" i="30880"/>
  <c r="AE76" i="30880" s="1"/>
  <c r="AD77" i="30880"/>
  <c r="AE77" i="30880" s="1"/>
  <c r="AB4" i="30880"/>
  <c r="AC4" i="30880" s="1"/>
  <c r="AB5" i="30880"/>
  <c r="AC5" i="30880" s="1"/>
  <c r="AB6" i="30880"/>
  <c r="AC6" i="30880" s="1"/>
  <c r="AB7" i="30880"/>
  <c r="AC7" i="30880" s="1"/>
  <c r="AB8" i="30880"/>
  <c r="AC8" i="30880" s="1"/>
  <c r="AB9" i="30880"/>
  <c r="AC9" i="30880" s="1"/>
  <c r="AB10" i="30880"/>
  <c r="AC10" i="30880" s="1"/>
  <c r="AB11" i="30880"/>
  <c r="AC11" i="30880" s="1"/>
  <c r="AB12" i="30880"/>
  <c r="AC12" i="30880" s="1"/>
  <c r="AB13" i="30880"/>
  <c r="AC13" i="30880" s="1"/>
  <c r="AB14" i="30880"/>
  <c r="AC14" i="30880" s="1"/>
  <c r="AB15" i="30880"/>
  <c r="AC15" i="30880" s="1"/>
  <c r="AB16" i="30880"/>
  <c r="AC16" i="30880" s="1"/>
  <c r="AB17" i="30880"/>
  <c r="AC17" i="30880" s="1"/>
  <c r="AB18" i="30880"/>
  <c r="AC18" i="30880" s="1"/>
  <c r="AB19" i="30880"/>
  <c r="AC19" i="30880" s="1"/>
  <c r="AB20" i="30880"/>
  <c r="AC20" i="30880" s="1"/>
  <c r="AB21" i="30880"/>
  <c r="AC21" i="30880" s="1"/>
  <c r="AB22" i="30880"/>
  <c r="AC22" i="30880" s="1"/>
  <c r="AB23" i="30880"/>
  <c r="AC23" i="30880" s="1"/>
  <c r="AB24" i="30880"/>
  <c r="AC24" i="30880" s="1"/>
  <c r="AB25" i="30880"/>
  <c r="AC25" i="30880" s="1"/>
  <c r="AB26" i="30880"/>
  <c r="AC26" i="30880" s="1"/>
  <c r="AB27" i="30880"/>
  <c r="AC27" i="30880" s="1"/>
  <c r="AB28" i="30880"/>
  <c r="AC28" i="30880" s="1"/>
  <c r="AB29" i="30880"/>
  <c r="AC29" i="30880" s="1"/>
  <c r="AB30" i="30880"/>
  <c r="AC30" i="30880" s="1"/>
  <c r="AB31" i="30880"/>
  <c r="AC31" i="30880" s="1"/>
  <c r="AB32" i="30880"/>
  <c r="AC32" i="30880" s="1"/>
  <c r="AB33" i="30880"/>
  <c r="AC33" i="30880" s="1"/>
  <c r="AB34" i="30880"/>
  <c r="AC34" i="30880" s="1"/>
  <c r="AB35" i="30880"/>
  <c r="AC35" i="30880" s="1"/>
  <c r="AB36" i="30880"/>
  <c r="AC36" i="30880" s="1"/>
  <c r="AB37" i="30880"/>
  <c r="AC37" i="30880" s="1"/>
  <c r="AB38" i="30880"/>
  <c r="AC38" i="30880" s="1"/>
  <c r="AB39" i="30880"/>
  <c r="AC39" i="30880" s="1"/>
  <c r="AB40" i="30880"/>
  <c r="AC40" i="30880" s="1"/>
  <c r="AB41" i="30880"/>
  <c r="AC41" i="30880" s="1"/>
  <c r="AB42" i="30880"/>
  <c r="AC42" i="30880" s="1"/>
  <c r="AB43" i="30880"/>
  <c r="AC43" i="30880" s="1"/>
  <c r="AB44" i="30880"/>
  <c r="AC44" i="30880" s="1"/>
  <c r="AB45" i="30880"/>
  <c r="AC45" i="30880" s="1"/>
  <c r="AB46" i="30880"/>
  <c r="AC46" i="30880" s="1"/>
  <c r="AB47" i="30880"/>
  <c r="AC47" i="30880" s="1"/>
  <c r="AB48" i="30880"/>
  <c r="AC48" i="30880" s="1"/>
  <c r="AB49" i="30880"/>
  <c r="AC49" i="30880" s="1"/>
  <c r="AB50" i="30880"/>
  <c r="AC50" i="30880" s="1"/>
  <c r="AB51" i="30880"/>
  <c r="AC51" i="30880" s="1"/>
  <c r="AB52" i="30880"/>
  <c r="AC52" i="30880" s="1"/>
  <c r="AB53" i="30880"/>
  <c r="AC53" i="30880" s="1"/>
  <c r="AB54" i="30880"/>
  <c r="AC54" i="30880" s="1"/>
  <c r="AB55" i="30880"/>
  <c r="AC55" i="30880" s="1"/>
  <c r="AB56" i="30880"/>
  <c r="AC56" i="30880" s="1"/>
  <c r="AB57" i="30880"/>
  <c r="AC57" i="30880" s="1"/>
  <c r="AB58" i="30880"/>
  <c r="AC58" i="30880" s="1"/>
  <c r="AB59" i="30880"/>
  <c r="AC59" i="30880" s="1"/>
  <c r="AB60" i="30880"/>
  <c r="AC60" i="30880" s="1"/>
  <c r="AB61" i="30880"/>
  <c r="AC61" i="30880" s="1"/>
  <c r="AB62" i="30880"/>
  <c r="AC62" i="30880" s="1"/>
  <c r="AB63" i="30880"/>
  <c r="AC63" i="30880" s="1"/>
  <c r="AB64" i="30880"/>
  <c r="AC64" i="30880" s="1"/>
  <c r="AB65" i="30880"/>
  <c r="AC65" i="30880" s="1"/>
  <c r="AB66" i="30880"/>
  <c r="AC66" i="30880" s="1"/>
  <c r="AB67" i="30880"/>
  <c r="AC67" i="30880" s="1"/>
  <c r="AB68" i="30880"/>
  <c r="AC68" i="30880" s="1"/>
  <c r="AB69" i="30880"/>
  <c r="AC69" i="30880" s="1"/>
  <c r="AB70" i="30880"/>
  <c r="AC70" i="30880" s="1"/>
  <c r="AB71" i="30880"/>
  <c r="AC71" i="30880" s="1"/>
  <c r="AB72" i="30880"/>
  <c r="AC72" i="30880" s="1"/>
  <c r="AB73" i="30880"/>
  <c r="AC73" i="30880" s="1"/>
  <c r="AB74" i="30880"/>
  <c r="AC74" i="30880" s="1"/>
  <c r="AB75" i="30880"/>
  <c r="AC75" i="30880" s="1"/>
  <c r="AB76" i="30880"/>
  <c r="AC76" i="30880" s="1"/>
  <c r="AB77" i="30880"/>
  <c r="AC77" i="30880" s="1"/>
  <c r="Z4" i="30880"/>
  <c r="AA4" i="30880" s="1"/>
  <c r="Z5" i="30880"/>
  <c r="AA5" i="30880" s="1"/>
  <c r="Z6" i="30880"/>
  <c r="AA6" i="30880" s="1"/>
  <c r="Z7" i="30880"/>
  <c r="AA7" i="30880" s="1"/>
  <c r="Z8" i="30880"/>
  <c r="AA8" i="30880" s="1"/>
  <c r="Z9" i="30880"/>
  <c r="AA9" i="30880" s="1"/>
  <c r="Z10" i="30880"/>
  <c r="AA10" i="30880" s="1"/>
  <c r="Z11" i="30880"/>
  <c r="AA11" i="30880" s="1"/>
  <c r="Z12" i="30880"/>
  <c r="AA12" i="30880" s="1"/>
  <c r="Z13" i="30880"/>
  <c r="AA13" i="30880" s="1"/>
  <c r="Z14" i="30880"/>
  <c r="AA14" i="30880" s="1"/>
  <c r="Z15" i="30880"/>
  <c r="AA15" i="30880" s="1"/>
  <c r="Z16" i="30880"/>
  <c r="AA16" i="30880" s="1"/>
  <c r="Z17" i="30880"/>
  <c r="AA17" i="30880" s="1"/>
  <c r="Z18" i="30880"/>
  <c r="AA18" i="30880" s="1"/>
  <c r="Z19" i="30880"/>
  <c r="AA19" i="30880" s="1"/>
  <c r="Z20" i="30880"/>
  <c r="AA20" i="30880" s="1"/>
  <c r="Z21" i="30880"/>
  <c r="AA21" i="30880" s="1"/>
  <c r="Z22" i="30880"/>
  <c r="AA22" i="30880" s="1"/>
  <c r="Z23" i="30880"/>
  <c r="AA23" i="30880" s="1"/>
  <c r="Z24" i="30880"/>
  <c r="AA24" i="30880" s="1"/>
  <c r="Z25" i="30880"/>
  <c r="AA25" i="30880" s="1"/>
  <c r="Z26" i="30880"/>
  <c r="AA26" i="30880" s="1"/>
  <c r="Z27" i="30880"/>
  <c r="AA27" i="30880" s="1"/>
  <c r="Z28" i="30880"/>
  <c r="AA28" i="30880" s="1"/>
  <c r="Z29" i="30880"/>
  <c r="AA29" i="30880" s="1"/>
  <c r="Z30" i="30880"/>
  <c r="AA30" i="30880" s="1"/>
  <c r="Z31" i="30880"/>
  <c r="AA31" i="30880" s="1"/>
  <c r="Z32" i="30880"/>
  <c r="AA32" i="30880" s="1"/>
  <c r="Z33" i="30880"/>
  <c r="AA33" i="30880" s="1"/>
  <c r="Z34" i="30880"/>
  <c r="AA34" i="30880" s="1"/>
  <c r="Z35" i="30880"/>
  <c r="AA35" i="30880" s="1"/>
  <c r="Z36" i="30880"/>
  <c r="AA36" i="30880" s="1"/>
  <c r="Z37" i="30880"/>
  <c r="AA37" i="30880" s="1"/>
  <c r="Z38" i="30880"/>
  <c r="AA38" i="30880" s="1"/>
  <c r="Z39" i="30880"/>
  <c r="AA39" i="30880" s="1"/>
  <c r="Z40" i="30880"/>
  <c r="AA40" i="30880" s="1"/>
  <c r="Z41" i="30880"/>
  <c r="AA41" i="30880" s="1"/>
  <c r="Z42" i="30880"/>
  <c r="AA42" i="30880" s="1"/>
  <c r="Z43" i="30880"/>
  <c r="AA43" i="30880" s="1"/>
  <c r="Z44" i="30880"/>
  <c r="AA44" i="30880" s="1"/>
  <c r="Z45" i="30880"/>
  <c r="AA45" i="30880" s="1"/>
  <c r="Z46" i="30880"/>
  <c r="AA46" i="30880" s="1"/>
  <c r="Z47" i="30880"/>
  <c r="AA47" i="30880" s="1"/>
  <c r="Z48" i="30880"/>
  <c r="AA48" i="30880" s="1"/>
  <c r="Z49" i="30880"/>
  <c r="AA49" i="30880" s="1"/>
  <c r="Z50" i="30880"/>
  <c r="AA50" i="30880" s="1"/>
  <c r="Z51" i="30880"/>
  <c r="AA51" i="30880" s="1"/>
  <c r="Z52" i="30880"/>
  <c r="AA52" i="30880" s="1"/>
  <c r="Z53" i="30880"/>
  <c r="AA53" i="30880" s="1"/>
  <c r="Z54" i="30880"/>
  <c r="AA54" i="30880" s="1"/>
  <c r="Z55" i="30880"/>
  <c r="AA55" i="30880" s="1"/>
  <c r="Z56" i="30880"/>
  <c r="AA56" i="30880" s="1"/>
  <c r="Z57" i="30880"/>
  <c r="AA57" i="30880" s="1"/>
  <c r="Z58" i="30880"/>
  <c r="AA58" i="30880" s="1"/>
  <c r="Z59" i="30880"/>
  <c r="AA59" i="30880" s="1"/>
  <c r="Z60" i="30880"/>
  <c r="AA60" i="30880" s="1"/>
  <c r="Z61" i="30880"/>
  <c r="AA61" i="30880" s="1"/>
  <c r="Z62" i="30880"/>
  <c r="AA62" i="30880" s="1"/>
  <c r="Z63" i="30880"/>
  <c r="AA63" i="30880" s="1"/>
  <c r="Z64" i="30880"/>
  <c r="AA64" i="30880" s="1"/>
  <c r="Z65" i="30880"/>
  <c r="AA65" i="30880" s="1"/>
  <c r="Z66" i="30880"/>
  <c r="AA66" i="30880" s="1"/>
  <c r="Z67" i="30880"/>
  <c r="AA67" i="30880" s="1"/>
  <c r="Z68" i="30880"/>
  <c r="AA68" i="30880" s="1"/>
  <c r="Z69" i="30880"/>
  <c r="AA69" i="30880" s="1"/>
  <c r="Z70" i="30880"/>
  <c r="AA70" i="30880" s="1"/>
  <c r="Z71" i="30880"/>
  <c r="AA71" i="30880" s="1"/>
  <c r="Z72" i="30880"/>
  <c r="AA72" i="30880" s="1"/>
  <c r="Z73" i="30880"/>
  <c r="AA73" i="30880" s="1"/>
  <c r="Z74" i="30880"/>
  <c r="AA74" i="30880" s="1"/>
  <c r="Z75" i="30880"/>
  <c r="AA75" i="30880" s="1"/>
  <c r="Z76" i="30880"/>
  <c r="AA76" i="30880" s="1"/>
  <c r="Z77" i="30880"/>
  <c r="AA77" i="30880" s="1"/>
  <c r="X4" i="30880"/>
  <c r="Y4" i="30880" s="1"/>
  <c r="X5" i="30880"/>
  <c r="Y5" i="30880" s="1"/>
  <c r="X6" i="30880"/>
  <c r="Y6" i="30880" s="1"/>
  <c r="X7" i="30880"/>
  <c r="Y7" i="30880" s="1"/>
  <c r="X8" i="30880"/>
  <c r="Y8" i="30880" s="1"/>
  <c r="X9" i="30880"/>
  <c r="Y9" i="30880" s="1"/>
  <c r="X10" i="30880"/>
  <c r="Y10" i="30880" s="1"/>
  <c r="X11" i="30880"/>
  <c r="Y11" i="30880" s="1"/>
  <c r="X12" i="30880"/>
  <c r="Y12" i="30880" s="1"/>
  <c r="X13" i="30880"/>
  <c r="Y13" i="30880" s="1"/>
  <c r="X14" i="30880"/>
  <c r="Y14" i="30880" s="1"/>
  <c r="X15" i="30880"/>
  <c r="Y15" i="30880" s="1"/>
  <c r="X16" i="30880"/>
  <c r="Y16" i="30880" s="1"/>
  <c r="X17" i="30880"/>
  <c r="Y17" i="30880" s="1"/>
  <c r="X18" i="30880"/>
  <c r="Y18" i="30880" s="1"/>
  <c r="X19" i="30880"/>
  <c r="Y19" i="30880" s="1"/>
  <c r="X20" i="30880"/>
  <c r="Y20" i="30880" s="1"/>
  <c r="X21" i="30880"/>
  <c r="Y21" i="30880" s="1"/>
  <c r="X22" i="30880"/>
  <c r="Y22" i="30880" s="1"/>
  <c r="X23" i="30880"/>
  <c r="Y23" i="30880" s="1"/>
  <c r="X24" i="30880"/>
  <c r="Y24" i="30880" s="1"/>
  <c r="X25" i="30880"/>
  <c r="Y25" i="30880" s="1"/>
  <c r="X26" i="30880"/>
  <c r="Y26" i="30880" s="1"/>
  <c r="X27" i="30880"/>
  <c r="Y27" i="30880" s="1"/>
  <c r="X28" i="30880"/>
  <c r="Y28" i="30880" s="1"/>
  <c r="X29" i="30880"/>
  <c r="Y29" i="30880" s="1"/>
  <c r="X30" i="30880"/>
  <c r="Y30" i="30880" s="1"/>
  <c r="X31" i="30880"/>
  <c r="Y31" i="30880" s="1"/>
  <c r="X32" i="30880"/>
  <c r="Y32" i="30880" s="1"/>
  <c r="X33" i="30880"/>
  <c r="Y33" i="30880" s="1"/>
  <c r="X34" i="30880"/>
  <c r="Y34" i="30880" s="1"/>
  <c r="X35" i="30880"/>
  <c r="Y35" i="30880" s="1"/>
  <c r="X36" i="30880"/>
  <c r="Y36" i="30880" s="1"/>
  <c r="X37" i="30880"/>
  <c r="Y37" i="30880" s="1"/>
  <c r="X38" i="30880"/>
  <c r="Y38" i="30880" s="1"/>
  <c r="X39" i="30880"/>
  <c r="Y39" i="30880" s="1"/>
  <c r="X40" i="30880"/>
  <c r="Y40" i="30880" s="1"/>
  <c r="X41" i="30880"/>
  <c r="Y41" i="30880" s="1"/>
  <c r="X42" i="30880"/>
  <c r="Y42" i="30880" s="1"/>
  <c r="X43" i="30880"/>
  <c r="Y43" i="30880" s="1"/>
  <c r="X44" i="30880"/>
  <c r="Y44" i="30880" s="1"/>
  <c r="X45" i="30880"/>
  <c r="Y45" i="30880" s="1"/>
  <c r="X46" i="30880"/>
  <c r="Y46" i="30880" s="1"/>
  <c r="X47" i="30880"/>
  <c r="Y47" i="30880" s="1"/>
  <c r="X48" i="30880"/>
  <c r="Y48" i="30880" s="1"/>
  <c r="X49" i="30880"/>
  <c r="Y49" i="30880" s="1"/>
  <c r="X50" i="30880"/>
  <c r="Y50" i="30880" s="1"/>
  <c r="X51" i="30880"/>
  <c r="Y51" i="30880" s="1"/>
  <c r="X52" i="30880"/>
  <c r="Y52" i="30880" s="1"/>
  <c r="X53" i="30880"/>
  <c r="Y53" i="30880" s="1"/>
  <c r="X54" i="30880"/>
  <c r="Y54" i="30880" s="1"/>
  <c r="X55" i="30880"/>
  <c r="Y55" i="30880" s="1"/>
  <c r="X56" i="30880"/>
  <c r="Y56" i="30880" s="1"/>
  <c r="X57" i="30880"/>
  <c r="Y57" i="30880" s="1"/>
  <c r="X58" i="30880"/>
  <c r="Y58" i="30880" s="1"/>
  <c r="X59" i="30880"/>
  <c r="Y59" i="30880" s="1"/>
  <c r="X60" i="30880"/>
  <c r="Y60" i="30880" s="1"/>
  <c r="X61" i="30880"/>
  <c r="Y61" i="30880" s="1"/>
  <c r="X62" i="30880"/>
  <c r="Y62" i="30880" s="1"/>
  <c r="X63" i="30880"/>
  <c r="Y63" i="30880" s="1"/>
  <c r="X64" i="30880"/>
  <c r="Y64" i="30880" s="1"/>
  <c r="X65" i="30880"/>
  <c r="Y65" i="30880" s="1"/>
  <c r="X66" i="30880"/>
  <c r="Y66" i="30880" s="1"/>
  <c r="X67" i="30880"/>
  <c r="Y67" i="30880" s="1"/>
  <c r="X68" i="30880"/>
  <c r="Y68" i="30880" s="1"/>
  <c r="X69" i="30880"/>
  <c r="Y69" i="30880" s="1"/>
  <c r="X70" i="30880"/>
  <c r="Y70" i="30880" s="1"/>
  <c r="X71" i="30880"/>
  <c r="Y71" i="30880" s="1"/>
  <c r="X72" i="30880"/>
  <c r="Y72" i="30880" s="1"/>
  <c r="X73" i="30880"/>
  <c r="Y73" i="30880" s="1"/>
  <c r="X74" i="30880"/>
  <c r="Y74" i="30880" s="1"/>
  <c r="X75" i="30880"/>
  <c r="Y75" i="30880" s="1"/>
  <c r="X76" i="30880"/>
  <c r="Y76" i="30880" s="1"/>
  <c r="X77" i="30880"/>
  <c r="Y77" i="30880" s="1"/>
  <c r="V4" i="30880"/>
  <c r="W4" i="30880" s="1"/>
  <c r="V5" i="30880"/>
  <c r="W5" i="30880" s="1"/>
  <c r="V6" i="30880"/>
  <c r="W6" i="30880" s="1"/>
  <c r="V7" i="30880"/>
  <c r="W7" i="30880" s="1"/>
  <c r="V8" i="30880"/>
  <c r="W8" i="30880" s="1"/>
  <c r="V9" i="30880"/>
  <c r="W9" i="30880" s="1"/>
  <c r="V10" i="30880"/>
  <c r="W10" i="30880" s="1"/>
  <c r="V11" i="30880"/>
  <c r="W11" i="30880" s="1"/>
  <c r="V12" i="30880"/>
  <c r="W12" i="30880" s="1"/>
  <c r="V13" i="30880"/>
  <c r="W13" i="30880" s="1"/>
  <c r="V14" i="30880"/>
  <c r="W14" i="30880" s="1"/>
  <c r="V15" i="30880"/>
  <c r="W15" i="30880" s="1"/>
  <c r="V16" i="30880"/>
  <c r="W16" i="30880" s="1"/>
  <c r="V17" i="30880"/>
  <c r="W17" i="30880" s="1"/>
  <c r="V18" i="30880"/>
  <c r="W18" i="30880" s="1"/>
  <c r="V19" i="30880"/>
  <c r="W19" i="30880" s="1"/>
  <c r="V20" i="30880"/>
  <c r="W20" i="30880" s="1"/>
  <c r="V21" i="30880"/>
  <c r="W21" i="30880" s="1"/>
  <c r="V22" i="30880"/>
  <c r="W22" i="30880" s="1"/>
  <c r="V23" i="30880"/>
  <c r="W23" i="30880" s="1"/>
  <c r="V24" i="30880"/>
  <c r="W24" i="30880" s="1"/>
  <c r="V25" i="30880"/>
  <c r="W25" i="30880" s="1"/>
  <c r="V26" i="30880"/>
  <c r="W26" i="30880" s="1"/>
  <c r="V27" i="30880"/>
  <c r="W27" i="30880" s="1"/>
  <c r="V28" i="30880"/>
  <c r="W28" i="30880" s="1"/>
  <c r="V29" i="30880"/>
  <c r="W29" i="30880" s="1"/>
  <c r="V30" i="30880"/>
  <c r="W30" i="30880" s="1"/>
  <c r="V31" i="30880"/>
  <c r="W31" i="30880" s="1"/>
  <c r="V32" i="30880"/>
  <c r="W32" i="30880" s="1"/>
  <c r="V33" i="30880"/>
  <c r="W33" i="30880" s="1"/>
  <c r="V34" i="30880"/>
  <c r="W34" i="30880" s="1"/>
  <c r="V35" i="30880"/>
  <c r="W35" i="30880" s="1"/>
  <c r="V36" i="30880"/>
  <c r="W36" i="30880" s="1"/>
  <c r="V37" i="30880"/>
  <c r="W37" i="30880" s="1"/>
  <c r="V38" i="30880"/>
  <c r="W38" i="30880" s="1"/>
  <c r="V39" i="30880"/>
  <c r="W39" i="30880" s="1"/>
  <c r="V40" i="30880"/>
  <c r="W40" i="30880" s="1"/>
  <c r="V41" i="30880"/>
  <c r="W41" i="30880" s="1"/>
  <c r="V42" i="30880"/>
  <c r="W42" i="30880" s="1"/>
  <c r="V43" i="30880"/>
  <c r="W43" i="30880" s="1"/>
  <c r="V44" i="30880"/>
  <c r="W44" i="30880" s="1"/>
  <c r="V45" i="30880"/>
  <c r="W45" i="30880" s="1"/>
  <c r="V46" i="30880"/>
  <c r="W46" i="30880" s="1"/>
  <c r="V47" i="30880"/>
  <c r="W47" i="30880" s="1"/>
  <c r="V48" i="30880"/>
  <c r="W48" i="30880" s="1"/>
  <c r="V49" i="30880"/>
  <c r="W49" i="30880" s="1"/>
  <c r="V50" i="30880"/>
  <c r="W50" i="30880" s="1"/>
  <c r="V51" i="30880"/>
  <c r="W51" i="30880" s="1"/>
  <c r="V52" i="30880"/>
  <c r="W52" i="30880" s="1"/>
  <c r="V53" i="30880"/>
  <c r="W53" i="30880" s="1"/>
  <c r="V54" i="30880"/>
  <c r="W54" i="30880" s="1"/>
  <c r="V55" i="30880"/>
  <c r="W55" i="30880" s="1"/>
  <c r="V56" i="30880"/>
  <c r="W56" i="30880" s="1"/>
  <c r="V57" i="30880"/>
  <c r="W57" i="30880" s="1"/>
  <c r="V58" i="30880"/>
  <c r="W58" i="30880" s="1"/>
  <c r="V59" i="30880"/>
  <c r="W59" i="30880" s="1"/>
  <c r="V60" i="30880"/>
  <c r="W60" i="30880" s="1"/>
  <c r="V61" i="30880"/>
  <c r="W61" i="30880" s="1"/>
  <c r="V62" i="30880"/>
  <c r="W62" i="30880" s="1"/>
  <c r="V63" i="30880"/>
  <c r="W63" i="30880" s="1"/>
  <c r="V64" i="30880"/>
  <c r="W64" i="30880" s="1"/>
  <c r="V65" i="30880"/>
  <c r="W65" i="30880" s="1"/>
  <c r="V66" i="30880"/>
  <c r="W66" i="30880" s="1"/>
  <c r="V67" i="30880"/>
  <c r="W67" i="30880" s="1"/>
  <c r="V68" i="30880"/>
  <c r="W68" i="30880" s="1"/>
  <c r="V69" i="30880"/>
  <c r="W69" i="30880" s="1"/>
  <c r="V70" i="30880"/>
  <c r="W70" i="30880" s="1"/>
  <c r="V71" i="30880"/>
  <c r="W71" i="30880" s="1"/>
  <c r="V72" i="30880"/>
  <c r="W72" i="30880" s="1"/>
  <c r="V73" i="30880"/>
  <c r="W73" i="30880" s="1"/>
  <c r="V74" i="30880"/>
  <c r="W74" i="30880" s="1"/>
  <c r="V75" i="30880"/>
  <c r="W75" i="30880" s="1"/>
  <c r="V76" i="30880"/>
  <c r="W76" i="30880" s="1"/>
  <c r="V77" i="30880"/>
  <c r="W77" i="30880" s="1"/>
  <c r="T4" i="30880"/>
  <c r="U4" i="30880" s="1"/>
  <c r="T5" i="30880"/>
  <c r="U5" i="30880" s="1"/>
  <c r="T6" i="30880"/>
  <c r="U6" i="30880" s="1"/>
  <c r="T7" i="30880"/>
  <c r="U7" i="30880" s="1"/>
  <c r="T8" i="30880"/>
  <c r="U8" i="30880" s="1"/>
  <c r="T9" i="30880"/>
  <c r="U9" i="30880" s="1"/>
  <c r="T10" i="30880"/>
  <c r="U10" i="30880" s="1"/>
  <c r="T11" i="30880"/>
  <c r="U11" i="30880" s="1"/>
  <c r="T12" i="30880"/>
  <c r="U12" i="30880" s="1"/>
  <c r="T13" i="30880"/>
  <c r="U13" i="30880" s="1"/>
  <c r="T14" i="30880"/>
  <c r="U14" i="30880" s="1"/>
  <c r="T15" i="30880"/>
  <c r="U15" i="30880" s="1"/>
  <c r="T16" i="30880"/>
  <c r="U16" i="30880" s="1"/>
  <c r="T17" i="30880"/>
  <c r="U17" i="30880" s="1"/>
  <c r="T18" i="30880"/>
  <c r="U18" i="30880" s="1"/>
  <c r="T19" i="30880"/>
  <c r="U19" i="30880" s="1"/>
  <c r="T20" i="30880"/>
  <c r="U20" i="30880" s="1"/>
  <c r="T21" i="30880"/>
  <c r="U21" i="30880" s="1"/>
  <c r="T22" i="30880"/>
  <c r="U22" i="30880" s="1"/>
  <c r="T23" i="30880"/>
  <c r="U23" i="30880" s="1"/>
  <c r="T24" i="30880"/>
  <c r="U24" i="30880" s="1"/>
  <c r="T25" i="30880"/>
  <c r="U25" i="30880" s="1"/>
  <c r="T26" i="30880"/>
  <c r="U26" i="30880" s="1"/>
  <c r="T27" i="30880"/>
  <c r="U27" i="30880" s="1"/>
  <c r="T28" i="30880"/>
  <c r="U28" i="30880" s="1"/>
  <c r="T29" i="30880"/>
  <c r="U29" i="30880" s="1"/>
  <c r="T30" i="30880"/>
  <c r="U30" i="30880" s="1"/>
  <c r="T31" i="30880"/>
  <c r="U31" i="30880" s="1"/>
  <c r="T32" i="30880"/>
  <c r="U32" i="30880" s="1"/>
  <c r="T33" i="30880"/>
  <c r="U33" i="30880" s="1"/>
  <c r="T34" i="30880"/>
  <c r="U34" i="30880" s="1"/>
  <c r="T35" i="30880"/>
  <c r="U35" i="30880" s="1"/>
  <c r="T36" i="30880"/>
  <c r="U36" i="30880" s="1"/>
  <c r="T37" i="30880"/>
  <c r="U37" i="30880" s="1"/>
  <c r="T38" i="30880"/>
  <c r="U38" i="30880" s="1"/>
  <c r="T39" i="30880"/>
  <c r="U39" i="30880" s="1"/>
  <c r="T40" i="30880"/>
  <c r="U40" i="30880" s="1"/>
  <c r="T41" i="30880"/>
  <c r="U41" i="30880" s="1"/>
  <c r="T42" i="30880"/>
  <c r="U42" i="30880" s="1"/>
  <c r="T43" i="30880"/>
  <c r="U43" i="30880" s="1"/>
  <c r="T44" i="30880"/>
  <c r="U44" i="30880" s="1"/>
  <c r="T45" i="30880"/>
  <c r="U45" i="30880" s="1"/>
  <c r="T46" i="30880"/>
  <c r="U46" i="30880" s="1"/>
  <c r="T47" i="30880"/>
  <c r="U47" i="30880" s="1"/>
  <c r="T48" i="30880"/>
  <c r="U48" i="30880" s="1"/>
  <c r="T49" i="30880"/>
  <c r="U49" i="30880" s="1"/>
  <c r="T50" i="30880"/>
  <c r="U50" i="30880" s="1"/>
  <c r="T51" i="30880"/>
  <c r="U51" i="30880" s="1"/>
  <c r="T52" i="30880"/>
  <c r="U52" i="30880" s="1"/>
  <c r="T53" i="30880"/>
  <c r="U53" i="30880" s="1"/>
  <c r="T54" i="30880"/>
  <c r="U54" i="30880" s="1"/>
  <c r="T55" i="30880"/>
  <c r="U55" i="30880" s="1"/>
  <c r="T56" i="30880"/>
  <c r="U56" i="30880" s="1"/>
  <c r="T57" i="30880"/>
  <c r="U57" i="30880" s="1"/>
  <c r="T58" i="30880"/>
  <c r="U58" i="30880" s="1"/>
  <c r="T59" i="30880"/>
  <c r="U59" i="30880" s="1"/>
  <c r="T60" i="30880"/>
  <c r="U60" i="30880" s="1"/>
  <c r="T61" i="30880"/>
  <c r="U61" i="30880" s="1"/>
  <c r="T62" i="30880"/>
  <c r="U62" i="30880" s="1"/>
  <c r="T63" i="30880"/>
  <c r="U63" i="30880" s="1"/>
  <c r="T64" i="30880"/>
  <c r="U64" i="30880" s="1"/>
  <c r="T65" i="30880"/>
  <c r="U65" i="30880" s="1"/>
  <c r="T66" i="30880"/>
  <c r="U66" i="30880" s="1"/>
  <c r="T67" i="30880"/>
  <c r="U67" i="30880" s="1"/>
  <c r="T68" i="30880"/>
  <c r="U68" i="30880" s="1"/>
  <c r="T69" i="30880"/>
  <c r="U69" i="30880" s="1"/>
  <c r="T70" i="30880"/>
  <c r="U70" i="30880" s="1"/>
  <c r="T71" i="30880"/>
  <c r="U71" i="30880" s="1"/>
  <c r="T72" i="30880"/>
  <c r="U72" i="30880" s="1"/>
  <c r="T73" i="30880"/>
  <c r="U73" i="30880" s="1"/>
  <c r="T74" i="30880"/>
  <c r="U74" i="30880" s="1"/>
  <c r="T75" i="30880"/>
  <c r="U75" i="30880" s="1"/>
  <c r="T76" i="30880"/>
  <c r="U76" i="30880" s="1"/>
  <c r="T77" i="30880"/>
  <c r="U77" i="30880" s="1"/>
  <c r="R4" i="30880"/>
  <c r="S4" i="30880" s="1"/>
  <c r="R5" i="30880"/>
  <c r="S5" i="30880" s="1"/>
  <c r="R6" i="30880"/>
  <c r="S6" i="30880" s="1"/>
  <c r="R7" i="30880"/>
  <c r="S7" i="30880" s="1"/>
  <c r="R8" i="30880"/>
  <c r="S8" i="30880" s="1"/>
  <c r="R9" i="30880"/>
  <c r="S9" i="30880" s="1"/>
  <c r="R10" i="30880"/>
  <c r="S10" i="30880" s="1"/>
  <c r="R11" i="30880"/>
  <c r="S11" i="30880" s="1"/>
  <c r="R12" i="30880"/>
  <c r="S12" i="30880" s="1"/>
  <c r="R13" i="30880"/>
  <c r="S13" i="30880" s="1"/>
  <c r="R14" i="30880"/>
  <c r="S14" i="30880" s="1"/>
  <c r="R15" i="30880"/>
  <c r="S15" i="30880" s="1"/>
  <c r="R16" i="30880"/>
  <c r="S16" i="30880" s="1"/>
  <c r="R17" i="30880"/>
  <c r="S17" i="30880" s="1"/>
  <c r="R18" i="30880"/>
  <c r="S18" i="30880" s="1"/>
  <c r="R19" i="30880"/>
  <c r="S19" i="30880" s="1"/>
  <c r="R20" i="30880"/>
  <c r="S20" i="30880" s="1"/>
  <c r="R21" i="30880"/>
  <c r="S21" i="30880" s="1"/>
  <c r="R22" i="30880"/>
  <c r="S22" i="30880" s="1"/>
  <c r="R23" i="30880"/>
  <c r="S23" i="30880" s="1"/>
  <c r="R24" i="30880"/>
  <c r="S24" i="30880" s="1"/>
  <c r="R25" i="30880"/>
  <c r="S25" i="30880" s="1"/>
  <c r="R26" i="30880"/>
  <c r="S26" i="30880" s="1"/>
  <c r="R27" i="30880"/>
  <c r="S27" i="30880" s="1"/>
  <c r="R28" i="30880"/>
  <c r="S28" i="30880" s="1"/>
  <c r="R29" i="30880"/>
  <c r="S29" i="30880" s="1"/>
  <c r="R30" i="30880"/>
  <c r="S30" i="30880" s="1"/>
  <c r="R31" i="30880"/>
  <c r="S31" i="30880" s="1"/>
  <c r="R32" i="30880"/>
  <c r="S32" i="30880" s="1"/>
  <c r="R33" i="30880"/>
  <c r="S33" i="30880" s="1"/>
  <c r="R34" i="30880"/>
  <c r="S34" i="30880" s="1"/>
  <c r="R35" i="30880"/>
  <c r="S35" i="30880" s="1"/>
  <c r="R36" i="30880"/>
  <c r="S36" i="30880" s="1"/>
  <c r="R37" i="30880"/>
  <c r="S37" i="30880" s="1"/>
  <c r="R38" i="30880"/>
  <c r="S38" i="30880" s="1"/>
  <c r="R39" i="30880"/>
  <c r="S39" i="30880" s="1"/>
  <c r="R40" i="30880"/>
  <c r="S40" i="30880" s="1"/>
  <c r="R41" i="30880"/>
  <c r="S41" i="30880" s="1"/>
  <c r="R42" i="30880"/>
  <c r="S42" i="30880" s="1"/>
  <c r="R43" i="30880"/>
  <c r="S43" i="30880" s="1"/>
  <c r="R44" i="30880"/>
  <c r="S44" i="30880" s="1"/>
  <c r="R45" i="30880"/>
  <c r="S45" i="30880" s="1"/>
  <c r="R46" i="30880"/>
  <c r="S46" i="30880" s="1"/>
  <c r="R47" i="30880"/>
  <c r="S47" i="30880" s="1"/>
  <c r="R48" i="30880"/>
  <c r="S48" i="30880" s="1"/>
  <c r="R49" i="30880"/>
  <c r="S49" i="30880" s="1"/>
  <c r="R50" i="30880"/>
  <c r="S50" i="30880" s="1"/>
  <c r="R51" i="30880"/>
  <c r="S51" i="30880" s="1"/>
  <c r="R52" i="30880"/>
  <c r="S52" i="30880" s="1"/>
  <c r="R53" i="30880"/>
  <c r="S53" i="30880" s="1"/>
  <c r="R54" i="30880"/>
  <c r="S54" i="30880" s="1"/>
  <c r="R55" i="30880"/>
  <c r="S55" i="30880" s="1"/>
  <c r="R56" i="30880"/>
  <c r="S56" i="30880" s="1"/>
  <c r="R57" i="30880"/>
  <c r="S57" i="30880" s="1"/>
  <c r="R58" i="30880"/>
  <c r="S58" i="30880" s="1"/>
  <c r="R59" i="30880"/>
  <c r="S59" i="30880" s="1"/>
  <c r="R60" i="30880"/>
  <c r="S60" i="30880" s="1"/>
  <c r="R61" i="30880"/>
  <c r="S61" i="30880" s="1"/>
  <c r="R62" i="30880"/>
  <c r="S62" i="30880" s="1"/>
  <c r="R63" i="30880"/>
  <c r="S63" i="30880" s="1"/>
  <c r="R64" i="30880"/>
  <c r="S64" i="30880" s="1"/>
  <c r="R65" i="30880"/>
  <c r="S65" i="30880" s="1"/>
  <c r="R66" i="30880"/>
  <c r="S66" i="30880" s="1"/>
  <c r="R67" i="30880"/>
  <c r="S67" i="30880" s="1"/>
  <c r="R68" i="30880"/>
  <c r="S68" i="30880" s="1"/>
  <c r="R69" i="30880"/>
  <c r="S69" i="30880" s="1"/>
  <c r="R70" i="30880"/>
  <c r="S70" i="30880" s="1"/>
  <c r="R71" i="30880"/>
  <c r="S71" i="30880" s="1"/>
  <c r="R72" i="30880"/>
  <c r="S72" i="30880" s="1"/>
  <c r="R73" i="30880"/>
  <c r="S73" i="30880" s="1"/>
  <c r="R74" i="30880"/>
  <c r="S74" i="30880" s="1"/>
  <c r="R75" i="30880"/>
  <c r="S75" i="30880" s="1"/>
  <c r="R76" i="30880"/>
  <c r="S76" i="30880" s="1"/>
  <c r="R77" i="30880"/>
  <c r="S77" i="30880" s="1"/>
  <c r="P4" i="30880"/>
  <c r="Q4" i="30880" s="1"/>
  <c r="P5" i="30880"/>
  <c r="Q5" i="30880" s="1"/>
  <c r="P6" i="30880"/>
  <c r="Q6" i="30880" s="1"/>
  <c r="P7" i="30880"/>
  <c r="Q7" i="30880" s="1"/>
  <c r="P8" i="30880"/>
  <c r="Q8" i="30880" s="1"/>
  <c r="P9" i="30880"/>
  <c r="Q9" i="30880" s="1"/>
  <c r="P10" i="30880"/>
  <c r="Q10" i="30880" s="1"/>
  <c r="P11" i="30880"/>
  <c r="Q11" i="30880" s="1"/>
  <c r="P12" i="30880"/>
  <c r="Q12" i="30880" s="1"/>
  <c r="P13" i="30880"/>
  <c r="Q13" i="30880" s="1"/>
  <c r="P14" i="30880"/>
  <c r="Q14" i="30880" s="1"/>
  <c r="P15" i="30880"/>
  <c r="Q15" i="30880" s="1"/>
  <c r="P16" i="30880"/>
  <c r="Q16" i="30880" s="1"/>
  <c r="P17" i="30880"/>
  <c r="Q17" i="30880" s="1"/>
  <c r="P18" i="30880"/>
  <c r="Q18" i="30880" s="1"/>
  <c r="P19" i="30880"/>
  <c r="Q19" i="30880" s="1"/>
  <c r="P20" i="30880"/>
  <c r="Q20" i="30880" s="1"/>
  <c r="P21" i="30880"/>
  <c r="Q21" i="30880" s="1"/>
  <c r="P22" i="30880"/>
  <c r="Q22" i="30880" s="1"/>
  <c r="P23" i="30880"/>
  <c r="Q23" i="30880" s="1"/>
  <c r="P24" i="30880"/>
  <c r="Q24" i="30880" s="1"/>
  <c r="P25" i="30880"/>
  <c r="Q25" i="30880" s="1"/>
  <c r="P26" i="30880"/>
  <c r="Q26" i="30880" s="1"/>
  <c r="P27" i="30880"/>
  <c r="Q27" i="30880" s="1"/>
  <c r="P28" i="30880"/>
  <c r="Q28" i="30880" s="1"/>
  <c r="P29" i="30880"/>
  <c r="Q29" i="30880" s="1"/>
  <c r="P30" i="30880"/>
  <c r="Q30" i="30880" s="1"/>
  <c r="P31" i="30880"/>
  <c r="Q31" i="30880" s="1"/>
  <c r="P32" i="30880"/>
  <c r="Q32" i="30880" s="1"/>
  <c r="P33" i="30880"/>
  <c r="Q33" i="30880" s="1"/>
  <c r="P34" i="30880"/>
  <c r="Q34" i="30880" s="1"/>
  <c r="P35" i="30880"/>
  <c r="Q35" i="30880" s="1"/>
  <c r="P36" i="30880"/>
  <c r="Q36" i="30880" s="1"/>
  <c r="P37" i="30880"/>
  <c r="Q37" i="30880" s="1"/>
  <c r="P38" i="30880"/>
  <c r="Q38" i="30880" s="1"/>
  <c r="P39" i="30880"/>
  <c r="Q39" i="30880" s="1"/>
  <c r="P40" i="30880"/>
  <c r="Q40" i="30880" s="1"/>
  <c r="P41" i="30880"/>
  <c r="Q41" i="30880" s="1"/>
  <c r="P42" i="30880"/>
  <c r="Q42" i="30880" s="1"/>
  <c r="P43" i="30880"/>
  <c r="Q43" i="30880" s="1"/>
  <c r="P44" i="30880"/>
  <c r="Q44" i="30880" s="1"/>
  <c r="P45" i="30880"/>
  <c r="Q45" i="30880" s="1"/>
  <c r="P46" i="30880"/>
  <c r="Q46" i="30880" s="1"/>
  <c r="P47" i="30880"/>
  <c r="Q47" i="30880" s="1"/>
  <c r="P48" i="30880"/>
  <c r="Q48" i="30880" s="1"/>
  <c r="P49" i="30880"/>
  <c r="Q49" i="30880" s="1"/>
  <c r="P50" i="30880"/>
  <c r="Q50" i="30880" s="1"/>
  <c r="P51" i="30880"/>
  <c r="Q51" i="30880" s="1"/>
  <c r="P52" i="30880"/>
  <c r="Q52" i="30880" s="1"/>
  <c r="P53" i="30880"/>
  <c r="Q53" i="30880" s="1"/>
  <c r="P54" i="30880"/>
  <c r="Q54" i="30880" s="1"/>
  <c r="P55" i="30880"/>
  <c r="Q55" i="30880" s="1"/>
  <c r="P56" i="30880"/>
  <c r="Q56" i="30880" s="1"/>
  <c r="P57" i="30880"/>
  <c r="Q57" i="30880" s="1"/>
  <c r="P58" i="30880"/>
  <c r="Q58" i="30880" s="1"/>
  <c r="P59" i="30880"/>
  <c r="Q59" i="30880" s="1"/>
  <c r="P60" i="30880"/>
  <c r="Q60" i="30880" s="1"/>
  <c r="P61" i="30880"/>
  <c r="Q61" i="30880" s="1"/>
  <c r="P62" i="30880"/>
  <c r="Q62" i="30880" s="1"/>
  <c r="P63" i="30880"/>
  <c r="Q63" i="30880" s="1"/>
  <c r="P64" i="30880"/>
  <c r="Q64" i="30880" s="1"/>
  <c r="P65" i="30880"/>
  <c r="Q65" i="30880" s="1"/>
  <c r="P66" i="30880"/>
  <c r="Q66" i="30880" s="1"/>
  <c r="P67" i="30880"/>
  <c r="Q67" i="30880" s="1"/>
  <c r="P68" i="30880"/>
  <c r="Q68" i="30880" s="1"/>
  <c r="P69" i="30880"/>
  <c r="Q69" i="30880" s="1"/>
  <c r="P70" i="30880"/>
  <c r="Q70" i="30880" s="1"/>
  <c r="P71" i="30880"/>
  <c r="Q71" i="30880" s="1"/>
  <c r="P72" i="30880"/>
  <c r="Q72" i="30880" s="1"/>
  <c r="P73" i="30880"/>
  <c r="Q73" i="30880" s="1"/>
  <c r="P74" i="30880"/>
  <c r="Q74" i="30880" s="1"/>
  <c r="P75" i="30880"/>
  <c r="Q75" i="30880" s="1"/>
  <c r="P76" i="30880"/>
  <c r="Q76" i="30880" s="1"/>
  <c r="P77" i="30880"/>
  <c r="Q77" i="30880" s="1"/>
  <c r="N4" i="30880"/>
  <c r="O4" i="30880" s="1"/>
  <c r="N5" i="30880"/>
  <c r="O5" i="30880" s="1"/>
  <c r="N6" i="30880"/>
  <c r="O6" i="30880" s="1"/>
  <c r="N7" i="30880"/>
  <c r="O7" i="30880" s="1"/>
  <c r="N8" i="30880"/>
  <c r="O8" i="30880" s="1"/>
  <c r="N9" i="30880"/>
  <c r="O9" i="30880" s="1"/>
  <c r="N10" i="30880"/>
  <c r="O10" i="30880" s="1"/>
  <c r="N11" i="30880"/>
  <c r="O11" i="30880" s="1"/>
  <c r="N12" i="30880"/>
  <c r="O12" i="30880" s="1"/>
  <c r="N13" i="30880"/>
  <c r="O13" i="30880" s="1"/>
  <c r="N14" i="30880"/>
  <c r="O14" i="30880" s="1"/>
  <c r="N15" i="30880"/>
  <c r="O15" i="30880" s="1"/>
  <c r="N16" i="30880"/>
  <c r="O16" i="30880" s="1"/>
  <c r="N17" i="30880"/>
  <c r="O17" i="30880" s="1"/>
  <c r="N18" i="30880"/>
  <c r="O18" i="30880" s="1"/>
  <c r="N19" i="30880"/>
  <c r="O19" i="30880" s="1"/>
  <c r="N20" i="30880"/>
  <c r="O20" i="30880" s="1"/>
  <c r="N21" i="30880"/>
  <c r="O21" i="30880" s="1"/>
  <c r="N22" i="30880"/>
  <c r="O22" i="30880" s="1"/>
  <c r="N23" i="30880"/>
  <c r="O23" i="30880" s="1"/>
  <c r="N24" i="30880"/>
  <c r="O24" i="30880" s="1"/>
  <c r="N25" i="30880"/>
  <c r="O25" i="30880" s="1"/>
  <c r="N26" i="30880"/>
  <c r="O26" i="30880" s="1"/>
  <c r="N27" i="30880"/>
  <c r="O27" i="30880" s="1"/>
  <c r="N28" i="30880"/>
  <c r="O28" i="30880" s="1"/>
  <c r="N29" i="30880"/>
  <c r="O29" i="30880" s="1"/>
  <c r="N30" i="30880"/>
  <c r="O30" i="30880" s="1"/>
  <c r="N31" i="30880"/>
  <c r="O31" i="30880" s="1"/>
  <c r="N32" i="30880"/>
  <c r="O32" i="30880" s="1"/>
  <c r="N33" i="30880"/>
  <c r="O33" i="30880" s="1"/>
  <c r="N34" i="30880"/>
  <c r="O34" i="30880" s="1"/>
  <c r="N35" i="30880"/>
  <c r="O35" i="30880" s="1"/>
  <c r="N36" i="30880"/>
  <c r="O36" i="30880" s="1"/>
  <c r="N37" i="30880"/>
  <c r="O37" i="30880" s="1"/>
  <c r="N38" i="30880"/>
  <c r="O38" i="30880" s="1"/>
  <c r="N39" i="30880"/>
  <c r="O39" i="30880" s="1"/>
  <c r="N40" i="30880"/>
  <c r="O40" i="30880" s="1"/>
  <c r="N41" i="30880"/>
  <c r="O41" i="30880" s="1"/>
  <c r="N42" i="30880"/>
  <c r="O42" i="30880" s="1"/>
  <c r="N43" i="30880"/>
  <c r="O43" i="30880" s="1"/>
  <c r="N44" i="30880"/>
  <c r="O44" i="30880" s="1"/>
  <c r="N45" i="30880"/>
  <c r="O45" i="30880" s="1"/>
  <c r="N46" i="30880"/>
  <c r="O46" i="30880" s="1"/>
  <c r="N47" i="30880"/>
  <c r="O47" i="30880" s="1"/>
  <c r="N48" i="30880"/>
  <c r="O48" i="30880" s="1"/>
  <c r="N49" i="30880"/>
  <c r="O49" i="30880" s="1"/>
  <c r="N50" i="30880"/>
  <c r="O50" i="30880" s="1"/>
  <c r="N51" i="30880"/>
  <c r="O51" i="30880" s="1"/>
  <c r="N52" i="30880"/>
  <c r="O52" i="30880" s="1"/>
  <c r="N53" i="30880"/>
  <c r="O53" i="30880" s="1"/>
  <c r="N54" i="30880"/>
  <c r="O54" i="30880" s="1"/>
  <c r="N55" i="30880"/>
  <c r="O55" i="30880" s="1"/>
  <c r="N56" i="30880"/>
  <c r="O56" i="30880" s="1"/>
  <c r="N57" i="30880"/>
  <c r="O57" i="30880" s="1"/>
  <c r="N58" i="30880"/>
  <c r="O58" i="30880" s="1"/>
  <c r="N59" i="30880"/>
  <c r="O59" i="30880" s="1"/>
  <c r="N60" i="30880"/>
  <c r="O60" i="30880" s="1"/>
  <c r="N61" i="30880"/>
  <c r="O61" i="30880" s="1"/>
  <c r="N62" i="30880"/>
  <c r="O62" i="30880" s="1"/>
  <c r="N63" i="30880"/>
  <c r="O63" i="30880" s="1"/>
  <c r="N64" i="30880"/>
  <c r="O64" i="30880" s="1"/>
  <c r="N65" i="30880"/>
  <c r="O65" i="30880" s="1"/>
  <c r="N66" i="30880"/>
  <c r="O66" i="30880" s="1"/>
  <c r="N67" i="30880"/>
  <c r="O67" i="30880" s="1"/>
  <c r="N68" i="30880"/>
  <c r="O68" i="30880" s="1"/>
  <c r="N69" i="30880"/>
  <c r="O69" i="30880" s="1"/>
  <c r="N70" i="30880"/>
  <c r="O70" i="30880" s="1"/>
  <c r="N71" i="30880"/>
  <c r="O71" i="30880" s="1"/>
  <c r="N72" i="30880"/>
  <c r="O72" i="30880" s="1"/>
  <c r="N73" i="30880"/>
  <c r="O73" i="30880" s="1"/>
  <c r="N74" i="30880"/>
  <c r="O74" i="30880" s="1"/>
  <c r="N75" i="30880"/>
  <c r="O75" i="30880" s="1"/>
  <c r="N76" i="30880"/>
  <c r="O76" i="30880" s="1"/>
  <c r="N77" i="30880"/>
  <c r="O77" i="30880" s="1"/>
  <c r="L4" i="30880"/>
  <c r="M4" i="30880" s="1"/>
  <c r="L5" i="30880"/>
  <c r="M5" i="30880" s="1"/>
  <c r="L6" i="30880"/>
  <c r="M6" i="30880" s="1"/>
  <c r="L7" i="30880"/>
  <c r="M7" i="30880" s="1"/>
  <c r="L8" i="30880"/>
  <c r="M8" i="30880" s="1"/>
  <c r="L9" i="30880"/>
  <c r="M9" i="30880" s="1"/>
  <c r="L10" i="30880"/>
  <c r="M10" i="30880" s="1"/>
  <c r="L11" i="30880"/>
  <c r="M11" i="30880" s="1"/>
  <c r="L12" i="30880"/>
  <c r="M12" i="30880" s="1"/>
  <c r="L13" i="30880"/>
  <c r="M13" i="30880" s="1"/>
  <c r="L14" i="30880"/>
  <c r="M14" i="30880" s="1"/>
  <c r="L15" i="30880"/>
  <c r="M15" i="30880" s="1"/>
  <c r="L16" i="30880"/>
  <c r="M16" i="30880" s="1"/>
  <c r="L17" i="30880"/>
  <c r="M17" i="30880" s="1"/>
  <c r="L18" i="30880"/>
  <c r="M18" i="30880" s="1"/>
  <c r="L19" i="30880"/>
  <c r="M19" i="30880" s="1"/>
  <c r="L20" i="30880"/>
  <c r="M20" i="30880" s="1"/>
  <c r="L21" i="30880"/>
  <c r="M21" i="30880" s="1"/>
  <c r="L22" i="30880"/>
  <c r="M22" i="30880" s="1"/>
  <c r="L23" i="30880"/>
  <c r="M23" i="30880" s="1"/>
  <c r="L24" i="30880"/>
  <c r="M24" i="30880" s="1"/>
  <c r="L25" i="30880"/>
  <c r="M25" i="30880" s="1"/>
  <c r="L26" i="30880"/>
  <c r="M26" i="30880" s="1"/>
  <c r="L27" i="30880"/>
  <c r="M27" i="30880" s="1"/>
  <c r="L28" i="30880"/>
  <c r="M28" i="30880" s="1"/>
  <c r="L29" i="30880"/>
  <c r="M29" i="30880" s="1"/>
  <c r="L30" i="30880"/>
  <c r="M30" i="30880" s="1"/>
  <c r="L31" i="30880"/>
  <c r="M31" i="30880" s="1"/>
  <c r="L32" i="30880"/>
  <c r="M32" i="30880" s="1"/>
  <c r="L33" i="30880"/>
  <c r="M33" i="30880" s="1"/>
  <c r="L34" i="30880"/>
  <c r="M34" i="30880" s="1"/>
  <c r="L35" i="30880"/>
  <c r="M35" i="30880" s="1"/>
  <c r="L36" i="30880"/>
  <c r="M36" i="30880" s="1"/>
  <c r="L37" i="30880"/>
  <c r="M37" i="30880" s="1"/>
  <c r="L38" i="30880"/>
  <c r="M38" i="30880" s="1"/>
  <c r="L39" i="30880"/>
  <c r="M39" i="30880" s="1"/>
  <c r="L40" i="30880"/>
  <c r="M40" i="30880" s="1"/>
  <c r="L41" i="30880"/>
  <c r="M41" i="30880" s="1"/>
  <c r="L42" i="30880"/>
  <c r="M42" i="30880" s="1"/>
  <c r="L43" i="30880"/>
  <c r="M43" i="30880" s="1"/>
  <c r="L44" i="30880"/>
  <c r="M44" i="30880" s="1"/>
  <c r="L45" i="30880"/>
  <c r="M45" i="30880" s="1"/>
  <c r="L46" i="30880"/>
  <c r="M46" i="30880" s="1"/>
  <c r="L47" i="30880"/>
  <c r="M47" i="30880" s="1"/>
  <c r="L48" i="30880"/>
  <c r="M48" i="30880" s="1"/>
  <c r="L49" i="30880"/>
  <c r="M49" i="30880" s="1"/>
  <c r="L50" i="30880"/>
  <c r="M50" i="30880" s="1"/>
  <c r="L51" i="30880"/>
  <c r="M51" i="30880" s="1"/>
  <c r="L52" i="30880"/>
  <c r="M52" i="30880" s="1"/>
  <c r="L53" i="30880"/>
  <c r="M53" i="30880" s="1"/>
  <c r="L54" i="30880"/>
  <c r="M54" i="30880" s="1"/>
  <c r="L55" i="30880"/>
  <c r="M55" i="30880" s="1"/>
  <c r="L56" i="30880"/>
  <c r="M56" i="30880" s="1"/>
  <c r="L57" i="30880"/>
  <c r="M57" i="30880" s="1"/>
  <c r="L58" i="30880"/>
  <c r="M58" i="30880" s="1"/>
  <c r="L59" i="30880"/>
  <c r="M59" i="30880" s="1"/>
  <c r="L60" i="30880"/>
  <c r="M60" i="30880" s="1"/>
  <c r="L61" i="30880"/>
  <c r="M61" i="30880" s="1"/>
  <c r="L62" i="30880"/>
  <c r="M62" i="30880" s="1"/>
  <c r="L63" i="30880"/>
  <c r="M63" i="30880" s="1"/>
  <c r="L64" i="30880"/>
  <c r="M64" i="30880" s="1"/>
  <c r="L65" i="30880"/>
  <c r="M65" i="30880" s="1"/>
  <c r="L66" i="30880"/>
  <c r="M66" i="30880" s="1"/>
  <c r="L67" i="30880"/>
  <c r="M67" i="30880" s="1"/>
  <c r="L68" i="30880"/>
  <c r="M68" i="30880" s="1"/>
  <c r="L69" i="30880"/>
  <c r="M69" i="30880" s="1"/>
  <c r="L70" i="30880"/>
  <c r="M70" i="30880" s="1"/>
  <c r="L71" i="30880"/>
  <c r="M71" i="30880" s="1"/>
  <c r="L72" i="30880"/>
  <c r="M72" i="30880" s="1"/>
  <c r="L73" i="30880"/>
  <c r="M73" i="30880" s="1"/>
  <c r="L74" i="30880"/>
  <c r="M74" i="30880" s="1"/>
  <c r="L75" i="30880"/>
  <c r="M75" i="30880" s="1"/>
  <c r="L76" i="30880"/>
  <c r="M76" i="30880" s="1"/>
  <c r="L77" i="30880"/>
  <c r="M77" i="30880" s="1"/>
  <c r="J4" i="30880"/>
  <c r="K4" i="30880" s="1"/>
  <c r="J5" i="30880"/>
  <c r="K5" i="30880" s="1"/>
  <c r="J6" i="30880"/>
  <c r="K6" i="30880" s="1"/>
  <c r="J7" i="30880"/>
  <c r="K7" i="30880" s="1"/>
  <c r="J8" i="30880"/>
  <c r="K8" i="30880" s="1"/>
  <c r="J9" i="30880"/>
  <c r="K9" i="30880" s="1"/>
  <c r="J10" i="30880"/>
  <c r="K10" i="30880" s="1"/>
  <c r="J11" i="30880"/>
  <c r="K11" i="30880" s="1"/>
  <c r="J12" i="30880"/>
  <c r="K12" i="30880" s="1"/>
  <c r="J13" i="30880"/>
  <c r="K13" i="30880" s="1"/>
  <c r="J14" i="30880"/>
  <c r="K14" i="30880" s="1"/>
  <c r="J15" i="30880"/>
  <c r="K15" i="30880" s="1"/>
  <c r="J16" i="30880"/>
  <c r="K16" i="30880" s="1"/>
  <c r="J17" i="30880"/>
  <c r="K17" i="30880" s="1"/>
  <c r="J18" i="30880"/>
  <c r="K18" i="30880" s="1"/>
  <c r="J19" i="30880"/>
  <c r="K19" i="30880" s="1"/>
  <c r="J20" i="30880"/>
  <c r="K20" i="30880" s="1"/>
  <c r="J21" i="30880"/>
  <c r="K21" i="30880" s="1"/>
  <c r="J22" i="30880"/>
  <c r="K22" i="30880" s="1"/>
  <c r="J23" i="30880"/>
  <c r="K23" i="30880" s="1"/>
  <c r="J24" i="30880"/>
  <c r="K24" i="30880" s="1"/>
  <c r="J25" i="30880"/>
  <c r="K25" i="30880" s="1"/>
  <c r="J26" i="30880"/>
  <c r="K26" i="30880" s="1"/>
  <c r="J27" i="30880"/>
  <c r="K27" i="30880" s="1"/>
  <c r="J28" i="30880"/>
  <c r="K28" i="30880" s="1"/>
  <c r="J29" i="30880"/>
  <c r="K29" i="30880" s="1"/>
  <c r="J30" i="30880"/>
  <c r="K30" i="30880" s="1"/>
  <c r="J31" i="30880"/>
  <c r="K31" i="30880" s="1"/>
  <c r="J32" i="30880"/>
  <c r="K32" i="30880" s="1"/>
  <c r="J33" i="30880"/>
  <c r="K33" i="30880" s="1"/>
  <c r="J34" i="30880"/>
  <c r="K34" i="30880" s="1"/>
  <c r="J35" i="30880"/>
  <c r="K35" i="30880" s="1"/>
  <c r="J36" i="30880"/>
  <c r="K36" i="30880" s="1"/>
  <c r="J37" i="30880"/>
  <c r="K37" i="30880" s="1"/>
  <c r="J38" i="30880"/>
  <c r="K38" i="30880" s="1"/>
  <c r="J39" i="30880"/>
  <c r="K39" i="30880" s="1"/>
  <c r="J40" i="30880"/>
  <c r="K40" i="30880" s="1"/>
  <c r="J41" i="30880"/>
  <c r="K41" i="30880" s="1"/>
  <c r="J42" i="30880"/>
  <c r="K42" i="30880" s="1"/>
  <c r="J43" i="30880"/>
  <c r="K43" i="30880" s="1"/>
  <c r="J44" i="30880"/>
  <c r="K44" i="30880" s="1"/>
  <c r="J45" i="30880"/>
  <c r="K45" i="30880" s="1"/>
  <c r="J46" i="30880"/>
  <c r="K46" i="30880" s="1"/>
  <c r="J47" i="30880"/>
  <c r="K47" i="30880" s="1"/>
  <c r="J48" i="30880"/>
  <c r="K48" i="30880" s="1"/>
  <c r="J49" i="30880"/>
  <c r="K49" i="30880" s="1"/>
  <c r="J50" i="30880"/>
  <c r="K50" i="30880" s="1"/>
  <c r="J51" i="30880"/>
  <c r="K51" i="30880" s="1"/>
  <c r="J52" i="30880"/>
  <c r="K52" i="30880" s="1"/>
  <c r="J53" i="30880"/>
  <c r="K53" i="30880" s="1"/>
  <c r="J54" i="30880"/>
  <c r="K54" i="30880" s="1"/>
  <c r="J55" i="30880"/>
  <c r="K55" i="30880" s="1"/>
  <c r="J56" i="30880"/>
  <c r="K56" i="30880" s="1"/>
  <c r="J57" i="30880"/>
  <c r="K57" i="30880" s="1"/>
  <c r="J58" i="30880"/>
  <c r="K58" i="30880" s="1"/>
  <c r="J59" i="30880"/>
  <c r="K59" i="30880" s="1"/>
  <c r="J60" i="30880"/>
  <c r="K60" i="30880" s="1"/>
  <c r="J61" i="30880"/>
  <c r="K61" i="30880" s="1"/>
  <c r="J62" i="30880"/>
  <c r="K62" i="30880" s="1"/>
  <c r="J63" i="30880"/>
  <c r="K63" i="30880" s="1"/>
  <c r="J64" i="30880"/>
  <c r="K64" i="30880" s="1"/>
  <c r="J65" i="30880"/>
  <c r="K65" i="30880" s="1"/>
  <c r="J66" i="30880"/>
  <c r="K66" i="30880" s="1"/>
  <c r="J67" i="30880"/>
  <c r="K67" i="30880" s="1"/>
  <c r="J68" i="30880"/>
  <c r="K68" i="30880" s="1"/>
  <c r="J69" i="30880"/>
  <c r="K69" i="30880" s="1"/>
  <c r="J70" i="30880"/>
  <c r="K70" i="30880" s="1"/>
  <c r="J71" i="30880"/>
  <c r="K71" i="30880" s="1"/>
  <c r="J72" i="30880"/>
  <c r="K72" i="30880" s="1"/>
  <c r="J73" i="30880"/>
  <c r="K73" i="30880" s="1"/>
  <c r="J74" i="30880"/>
  <c r="K74" i="30880" s="1"/>
  <c r="J75" i="30880"/>
  <c r="K75" i="30880" s="1"/>
  <c r="J76" i="30880"/>
  <c r="K76" i="30880" s="1"/>
  <c r="J77" i="30880"/>
  <c r="K77" i="30880" s="1"/>
  <c r="H4" i="30880"/>
  <c r="I4" i="30880" s="1"/>
  <c r="H5" i="30880"/>
  <c r="I5" i="30880" s="1"/>
  <c r="H6" i="30880"/>
  <c r="I6" i="30880" s="1"/>
  <c r="H7" i="30880"/>
  <c r="I7" i="30880" s="1"/>
  <c r="H8" i="30880"/>
  <c r="I8" i="30880" s="1"/>
  <c r="H9" i="30880"/>
  <c r="I9" i="30880" s="1"/>
  <c r="H10" i="30880"/>
  <c r="I10" i="30880" s="1"/>
  <c r="H11" i="30880"/>
  <c r="I11" i="30880" s="1"/>
  <c r="H12" i="30880"/>
  <c r="I12" i="30880" s="1"/>
  <c r="H13" i="30880"/>
  <c r="I13" i="30880" s="1"/>
  <c r="H14" i="30880"/>
  <c r="I14" i="30880" s="1"/>
  <c r="H15" i="30880"/>
  <c r="I15" i="30880" s="1"/>
  <c r="H16" i="30880"/>
  <c r="I16" i="30880" s="1"/>
  <c r="H17" i="30880"/>
  <c r="I17" i="30880" s="1"/>
  <c r="H18" i="30880"/>
  <c r="I18" i="30880" s="1"/>
  <c r="H19" i="30880"/>
  <c r="I19" i="30880" s="1"/>
  <c r="H20" i="30880"/>
  <c r="I20" i="30880" s="1"/>
  <c r="H21" i="30880"/>
  <c r="I21" i="30880" s="1"/>
  <c r="H22" i="30880"/>
  <c r="I22" i="30880" s="1"/>
  <c r="H23" i="30880"/>
  <c r="I23" i="30880" s="1"/>
  <c r="H24" i="30880"/>
  <c r="I24" i="30880" s="1"/>
  <c r="H25" i="30880"/>
  <c r="I25" i="30880" s="1"/>
  <c r="H26" i="30880"/>
  <c r="I26" i="30880" s="1"/>
  <c r="H27" i="30880"/>
  <c r="I27" i="30880" s="1"/>
  <c r="H28" i="30880"/>
  <c r="I28" i="30880" s="1"/>
  <c r="H29" i="30880"/>
  <c r="I29" i="30880" s="1"/>
  <c r="H30" i="30880"/>
  <c r="I30" i="30880" s="1"/>
  <c r="H31" i="30880"/>
  <c r="I31" i="30880" s="1"/>
  <c r="H32" i="30880"/>
  <c r="I32" i="30880" s="1"/>
  <c r="H33" i="30880"/>
  <c r="I33" i="30880" s="1"/>
  <c r="H34" i="30880"/>
  <c r="I34" i="30880" s="1"/>
  <c r="H35" i="30880"/>
  <c r="I35" i="30880" s="1"/>
  <c r="H36" i="30880"/>
  <c r="I36" i="30880" s="1"/>
  <c r="H37" i="30880"/>
  <c r="I37" i="30880" s="1"/>
  <c r="H38" i="30880"/>
  <c r="I38" i="30880" s="1"/>
  <c r="H39" i="30880"/>
  <c r="I39" i="30880" s="1"/>
  <c r="H40" i="30880"/>
  <c r="I40" i="30880" s="1"/>
  <c r="H41" i="30880"/>
  <c r="I41" i="30880" s="1"/>
  <c r="H42" i="30880"/>
  <c r="I42" i="30880" s="1"/>
  <c r="H43" i="30880"/>
  <c r="I43" i="30880" s="1"/>
  <c r="H44" i="30880"/>
  <c r="I44" i="30880" s="1"/>
  <c r="H45" i="30880"/>
  <c r="I45" i="30880" s="1"/>
  <c r="H46" i="30880"/>
  <c r="I46" i="30880" s="1"/>
  <c r="H47" i="30880"/>
  <c r="I47" i="30880" s="1"/>
  <c r="H48" i="30880"/>
  <c r="I48" i="30880" s="1"/>
  <c r="H49" i="30880"/>
  <c r="I49" i="30880" s="1"/>
  <c r="H50" i="30880"/>
  <c r="I50" i="30880" s="1"/>
  <c r="H51" i="30880"/>
  <c r="I51" i="30880" s="1"/>
  <c r="H52" i="30880"/>
  <c r="I52" i="30880" s="1"/>
  <c r="H53" i="30880"/>
  <c r="I53" i="30880" s="1"/>
  <c r="H54" i="30880"/>
  <c r="I54" i="30880" s="1"/>
  <c r="H55" i="30880"/>
  <c r="I55" i="30880" s="1"/>
  <c r="H56" i="30880"/>
  <c r="I56" i="30880" s="1"/>
  <c r="H57" i="30880"/>
  <c r="I57" i="30880" s="1"/>
  <c r="H58" i="30880"/>
  <c r="I58" i="30880" s="1"/>
  <c r="H59" i="30880"/>
  <c r="I59" i="30880" s="1"/>
  <c r="H60" i="30880"/>
  <c r="I60" i="30880" s="1"/>
  <c r="H61" i="30880"/>
  <c r="I61" i="30880" s="1"/>
  <c r="H62" i="30880"/>
  <c r="I62" i="30880" s="1"/>
  <c r="H63" i="30880"/>
  <c r="I63" i="30880" s="1"/>
  <c r="H64" i="30880"/>
  <c r="I64" i="30880" s="1"/>
  <c r="H65" i="30880"/>
  <c r="I65" i="30880" s="1"/>
  <c r="H66" i="30880"/>
  <c r="I66" i="30880" s="1"/>
  <c r="H67" i="30880"/>
  <c r="I67" i="30880" s="1"/>
  <c r="H68" i="30880"/>
  <c r="I68" i="30880" s="1"/>
  <c r="H69" i="30880"/>
  <c r="I69" i="30880" s="1"/>
  <c r="H70" i="30880"/>
  <c r="I70" i="30880" s="1"/>
  <c r="H71" i="30880"/>
  <c r="I71" i="30880" s="1"/>
  <c r="H72" i="30880"/>
  <c r="I72" i="30880" s="1"/>
  <c r="H73" i="30880"/>
  <c r="I73" i="30880" s="1"/>
  <c r="H74" i="30880"/>
  <c r="I74" i="30880" s="1"/>
  <c r="H75" i="30880"/>
  <c r="I75" i="30880" s="1"/>
  <c r="H76" i="30880"/>
  <c r="I76" i="30880" s="1"/>
  <c r="H77" i="30880"/>
  <c r="I77" i="30880" s="1"/>
  <c r="F4" i="30880"/>
  <c r="G4" i="30880" s="1"/>
  <c r="F5" i="30880"/>
  <c r="G5" i="30880" s="1"/>
  <c r="F6" i="30880"/>
  <c r="G6" i="30880" s="1"/>
  <c r="F7" i="30880"/>
  <c r="G7" i="30880" s="1"/>
  <c r="F8" i="30880"/>
  <c r="G8" i="30880" s="1"/>
  <c r="G9" i="30880"/>
  <c r="F10" i="30880"/>
  <c r="G10" i="30880" s="1"/>
  <c r="F11" i="30880"/>
  <c r="G11" i="30880" s="1"/>
  <c r="F12" i="30880"/>
  <c r="G12" i="30880" s="1"/>
  <c r="F13" i="30880"/>
  <c r="G13" i="30880" s="1"/>
  <c r="F14" i="30880"/>
  <c r="G14" i="30880" s="1"/>
  <c r="F15" i="30880"/>
  <c r="G15" i="30880" s="1"/>
  <c r="F16" i="30880"/>
  <c r="G16" i="30880" s="1"/>
  <c r="F17" i="30880"/>
  <c r="G17" i="30880" s="1"/>
  <c r="F18" i="30880"/>
  <c r="G18" i="30880" s="1"/>
  <c r="F19" i="30880"/>
  <c r="G19" i="30880" s="1"/>
  <c r="F20" i="30880"/>
  <c r="G20" i="30880" s="1"/>
  <c r="F21" i="30880"/>
  <c r="G21" i="30880" s="1"/>
  <c r="F22" i="30880"/>
  <c r="G22" i="30880" s="1"/>
  <c r="F23" i="30880"/>
  <c r="G23" i="30880" s="1"/>
  <c r="F24" i="30880"/>
  <c r="G24" i="30880" s="1"/>
  <c r="F25" i="30880"/>
  <c r="G25" i="30880" s="1"/>
  <c r="F26" i="30880"/>
  <c r="G26" i="30880" s="1"/>
  <c r="F27" i="30880"/>
  <c r="G27" i="30880" s="1"/>
  <c r="F28" i="30880"/>
  <c r="G28" i="30880" s="1"/>
  <c r="F29" i="30880"/>
  <c r="G29" i="30880" s="1"/>
  <c r="F30" i="30880"/>
  <c r="G30" i="30880" s="1"/>
  <c r="F31" i="30880"/>
  <c r="G31" i="30880" s="1"/>
  <c r="F32" i="30880"/>
  <c r="G32" i="30880" s="1"/>
  <c r="F33" i="30880"/>
  <c r="G33" i="30880" s="1"/>
  <c r="F34" i="30880"/>
  <c r="G34" i="30880" s="1"/>
  <c r="F35" i="30880"/>
  <c r="G35" i="30880" s="1"/>
  <c r="F36" i="30880"/>
  <c r="G36" i="30880" s="1"/>
  <c r="F37" i="30880"/>
  <c r="G37" i="30880" s="1"/>
  <c r="F38" i="30880"/>
  <c r="G38" i="30880" s="1"/>
  <c r="F39" i="30880"/>
  <c r="G39" i="30880" s="1"/>
  <c r="F40" i="30880"/>
  <c r="G40" i="30880" s="1"/>
  <c r="F41" i="30880"/>
  <c r="G41" i="30880" s="1"/>
  <c r="F42" i="30880"/>
  <c r="G42" i="30880" s="1"/>
  <c r="F43" i="30880"/>
  <c r="G43" i="30880" s="1"/>
  <c r="F44" i="30880"/>
  <c r="G44" i="30880" s="1"/>
  <c r="F45" i="30880"/>
  <c r="G45" i="30880" s="1"/>
  <c r="F46" i="30880"/>
  <c r="G46" i="30880" s="1"/>
  <c r="F47" i="30880"/>
  <c r="G47" i="30880" s="1"/>
  <c r="F48" i="30880"/>
  <c r="G48" i="30880" s="1"/>
  <c r="F49" i="30880"/>
  <c r="G49" i="30880" s="1"/>
  <c r="F50" i="30880"/>
  <c r="G50" i="30880" s="1"/>
  <c r="F51" i="30880"/>
  <c r="G51" i="30880" s="1"/>
  <c r="F52" i="30880"/>
  <c r="G52" i="30880" s="1"/>
  <c r="F53" i="30880"/>
  <c r="G53" i="30880" s="1"/>
  <c r="F54" i="30880"/>
  <c r="G54" i="30880" s="1"/>
  <c r="F55" i="30880"/>
  <c r="G55" i="30880" s="1"/>
  <c r="F56" i="30880"/>
  <c r="G56" i="30880" s="1"/>
  <c r="F57" i="30880"/>
  <c r="G57" i="30880" s="1"/>
  <c r="F58" i="30880"/>
  <c r="G58" i="30880" s="1"/>
  <c r="F59" i="30880"/>
  <c r="G59" i="30880" s="1"/>
  <c r="F60" i="30880"/>
  <c r="G60" i="30880" s="1"/>
  <c r="F61" i="30880"/>
  <c r="G61" i="30880" s="1"/>
  <c r="F62" i="30880"/>
  <c r="G62" i="30880" s="1"/>
  <c r="F63" i="30880"/>
  <c r="G63" i="30880" s="1"/>
  <c r="F64" i="30880"/>
  <c r="G64" i="30880" s="1"/>
  <c r="F65" i="30880"/>
  <c r="G65" i="30880" s="1"/>
  <c r="F66" i="30880"/>
  <c r="G66" i="30880" s="1"/>
  <c r="F67" i="30880"/>
  <c r="G67" i="30880" s="1"/>
  <c r="F68" i="30880"/>
  <c r="G68" i="30880" s="1"/>
  <c r="F69" i="30880"/>
  <c r="G69" i="30880" s="1"/>
  <c r="F70" i="30880"/>
  <c r="G70" i="30880" s="1"/>
  <c r="F71" i="30880"/>
  <c r="G71" i="30880" s="1"/>
  <c r="F72" i="30880"/>
  <c r="G72" i="30880" s="1"/>
  <c r="F73" i="30880"/>
  <c r="G73" i="30880" s="1"/>
  <c r="F74" i="30880"/>
  <c r="G74" i="30880" s="1"/>
  <c r="F75" i="30880"/>
  <c r="G75" i="30880" s="1"/>
  <c r="F76" i="30880"/>
  <c r="G76" i="30880" s="1"/>
  <c r="F77" i="30880"/>
  <c r="G77" i="30880" s="1"/>
  <c r="DR3" i="30880"/>
  <c r="DS3" i="30880" s="1"/>
  <c r="DP3" i="30880"/>
  <c r="DQ3" i="30880" s="1"/>
  <c r="DL3" i="30880"/>
  <c r="DM3" i="30880" s="1"/>
  <c r="DJ3" i="30880"/>
  <c r="DK3" i="30880" s="1"/>
  <c r="DH3" i="30880"/>
  <c r="DI3" i="30880" s="1"/>
  <c r="DF3" i="30880"/>
  <c r="DG3" i="30880" s="1"/>
  <c r="DD3" i="30880"/>
  <c r="DE3" i="30880" s="1"/>
  <c r="DB3" i="30880"/>
  <c r="DC3" i="30880" s="1"/>
  <c r="CZ3" i="30880"/>
  <c r="DA3" i="30880" s="1"/>
  <c r="CX3" i="30880"/>
  <c r="CY3" i="30880" s="1"/>
  <c r="CV3" i="30880"/>
  <c r="CW3" i="30880" s="1"/>
  <c r="CT3" i="30880"/>
  <c r="CU3" i="30880" s="1"/>
  <c r="CR3" i="30880"/>
  <c r="CS3" i="30880" s="1"/>
  <c r="CP3" i="30880"/>
  <c r="CQ3" i="30880" s="1"/>
  <c r="CN3" i="30880"/>
  <c r="CO3" i="30880" s="1"/>
  <c r="CL3" i="30880"/>
  <c r="CM3" i="30880" s="1"/>
  <c r="CJ3" i="30880"/>
  <c r="CK3" i="30880" s="1"/>
  <c r="CH3" i="30880"/>
  <c r="CI3" i="30880" s="1"/>
  <c r="CF3" i="30880"/>
  <c r="CG3" i="30880" s="1"/>
  <c r="CD3" i="30880"/>
  <c r="CE3" i="30880" s="1"/>
  <c r="CB3" i="30880"/>
  <c r="CC3" i="30880" s="1"/>
  <c r="BZ3" i="30880"/>
  <c r="CA3" i="30880" s="1"/>
  <c r="BX3" i="30880"/>
  <c r="BY3" i="30880" s="1"/>
  <c r="BV3" i="30880"/>
  <c r="BW3" i="30880" s="1"/>
  <c r="BT3" i="30880"/>
  <c r="BU3" i="30880" s="1"/>
  <c r="BR3" i="30880"/>
  <c r="BS3" i="30880" s="1"/>
  <c r="BP3" i="30880"/>
  <c r="BQ3" i="30880" s="1"/>
  <c r="BN3" i="30880"/>
  <c r="BO3" i="30880" s="1"/>
  <c r="BL3" i="30880"/>
  <c r="BM3" i="30880" s="1"/>
  <c r="BJ3" i="30880"/>
  <c r="BK3" i="30880" s="1"/>
  <c r="BH3" i="30880"/>
  <c r="BI3" i="30880" s="1"/>
  <c r="BF3" i="30880"/>
  <c r="BG3" i="30880" s="1"/>
  <c r="BD3" i="30880"/>
  <c r="BE3" i="30880" s="1"/>
  <c r="BB3" i="30880"/>
  <c r="BC3" i="30880" s="1"/>
  <c r="AZ3" i="30880"/>
  <c r="BA3" i="30880" s="1"/>
  <c r="AX3" i="30880"/>
  <c r="AY3" i="30880" s="1"/>
  <c r="AV3" i="30880"/>
  <c r="AW3" i="30880" s="1"/>
  <c r="AT3" i="30880"/>
  <c r="AU3" i="30880" s="1"/>
  <c r="AR3" i="30880"/>
  <c r="AS3" i="30880" s="1"/>
  <c r="AP3" i="30880"/>
  <c r="AQ3" i="30880" s="1"/>
  <c r="AN3" i="30880"/>
  <c r="AO3" i="30880" s="1"/>
  <c r="AL3" i="30880"/>
  <c r="AM3" i="30880" s="1"/>
  <c r="AJ3" i="30880"/>
  <c r="AK3" i="30880" s="1"/>
  <c r="AH3" i="30880"/>
  <c r="AI3" i="30880" s="1"/>
  <c r="AF3" i="30880"/>
  <c r="AG3" i="30880" s="1"/>
  <c r="AD3" i="30880"/>
  <c r="AE3" i="30880" s="1"/>
  <c r="AB3" i="30880"/>
  <c r="AC3" i="30880" s="1"/>
  <c r="Z3" i="30880"/>
  <c r="AA3" i="30880" s="1"/>
  <c r="X3" i="30880"/>
  <c r="Y3" i="30880" s="1"/>
  <c r="V3" i="30880"/>
  <c r="W3" i="30880" s="1"/>
  <c r="T3" i="30880"/>
  <c r="U3" i="30880" s="1"/>
  <c r="R3" i="30880"/>
  <c r="S3" i="30880" s="1"/>
  <c r="P3" i="30880"/>
  <c r="Q3" i="30880" s="1"/>
  <c r="N3" i="30880"/>
  <c r="O3" i="30880" s="1"/>
  <c r="L3" i="30880"/>
  <c r="M3" i="30880" s="1"/>
  <c r="J3" i="30880"/>
  <c r="K3" i="30880" s="1"/>
  <c r="H3" i="30880"/>
  <c r="I3" i="30880" s="1"/>
  <c r="G3" i="30880"/>
  <c r="I2" i="30879"/>
  <c r="J2" i="30879"/>
  <c r="K2" i="30879"/>
  <c r="L2" i="30879"/>
  <c r="M2" i="30879"/>
  <c r="N2" i="30879"/>
  <c r="O2" i="30879"/>
  <c r="P2" i="30879"/>
  <c r="Q2" i="30879"/>
  <c r="R2" i="30879"/>
  <c r="S2" i="30879"/>
  <c r="T2" i="30879"/>
  <c r="U2" i="30879"/>
  <c r="V2" i="30879"/>
  <c r="W2" i="30879"/>
  <c r="X2" i="30879"/>
  <c r="Y2" i="30879"/>
  <c r="Z2" i="30879"/>
  <c r="AA2" i="30879"/>
  <c r="AB2" i="30879"/>
  <c r="AC2" i="30879"/>
  <c r="AD2" i="30879"/>
  <c r="AE2" i="30879"/>
  <c r="AF2" i="30879"/>
  <c r="AG2" i="30879"/>
  <c r="AH2" i="30879"/>
  <c r="AI2" i="30879"/>
  <c r="AJ2" i="30879"/>
  <c r="AK2" i="30879"/>
  <c r="AL2" i="30879"/>
  <c r="AM2" i="30879"/>
  <c r="AN2" i="30879"/>
  <c r="AO2" i="30879"/>
  <c r="AP2" i="30879"/>
  <c r="AQ2" i="30879"/>
  <c r="AR2" i="30879"/>
  <c r="AS2" i="30879"/>
  <c r="AT2" i="30879"/>
  <c r="AU2" i="30879"/>
  <c r="AV2" i="30879"/>
  <c r="AW2" i="30879"/>
  <c r="AX2" i="30879"/>
  <c r="AY2" i="30879"/>
  <c r="AZ2" i="30879"/>
  <c r="BA2" i="30879"/>
  <c r="BB2" i="30879"/>
  <c r="BC2" i="30879"/>
  <c r="BD2" i="30879"/>
  <c r="BE2" i="30879"/>
  <c r="BF2" i="30879"/>
  <c r="BG2" i="30879"/>
  <c r="BH2" i="30879"/>
  <c r="BI2" i="30879"/>
  <c r="BJ2" i="30879"/>
  <c r="BK2" i="30879"/>
  <c r="BL2" i="30879"/>
  <c r="BM2" i="30879"/>
  <c r="BN2" i="30879"/>
  <c r="D4" i="30880"/>
  <c r="D5" i="30880"/>
  <c r="D6" i="30880"/>
  <c r="D7" i="30880"/>
  <c r="D8" i="30880"/>
  <c r="D9" i="30880"/>
  <c r="D10" i="30880"/>
  <c r="D11" i="30880"/>
  <c r="D12" i="30880"/>
  <c r="D13" i="30880"/>
  <c r="D14" i="30880"/>
  <c r="D15" i="30880"/>
  <c r="D16" i="30880"/>
  <c r="D17" i="30880"/>
  <c r="D18" i="30880"/>
  <c r="D19" i="30880"/>
  <c r="D20" i="30880"/>
  <c r="D21" i="30880"/>
  <c r="D22" i="30880"/>
  <c r="D23" i="30880"/>
  <c r="D24" i="30880"/>
  <c r="D25" i="30880"/>
  <c r="D26" i="30880"/>
  <c r="D27" i="30880"/>
  <c r="D28" i="30880"/>
  <c r="D29" i="30880"/>
  <c r="D30" i="30880"/>
  <c r="D31" i="30880"/>
  <c r="D32" i="30880"/>
  <c r="D33" i="30880"/>
  <c r="D34" i="30880"/>
  <c r="D35" i="30880"/>
  <c r="D36" i="30880"/>
  <c r="D37" i="30880"/>
  <c r="D38" i="30880"/>
  <c r="D39" i="30880"/>
  <c r="D40" i="30880"/>
  <c r="D41" i="30880"/>
  <c r="D42" i="30880"/>
  <c r="D43" i="30880"/>
  <c r="D44" i="30880"/>
  <c r="D45" i="30880"/>
  <c r="D46" i="30880"/>
  <c r="D47" i="30880"/>
  <c r="D48" i="30880"/>
  <c r="D49" i="30880"/>
  <c r="D50" i="30880"/>
  <c r="D51" i="30880"/>
  <c r="D52" i="30880"/>
  <c r="D53" i="30880"/>
  <c r="D54" i="30880"/>
  <c r="D55" i="30880"/>
  <c r="D56" i="30880"/>
  <c r="D57" i="30880"/>
  <c r="D58" i="30880"/>
  <c r="D59" i="30880"/>
  <c r="D60" i="30880"/>
  <c r="D61" i="30880"/>
  <c r="D62" i="30880"/>
  <c r="D63" i="30880"/>
  <c r="D64" i="30880"/>
  <c r="D65" i="30880"/>
  <c r="D66" i="30880"/>
  <c r="D67" i="30880"/>
  <c r="D68" i="30880"/>
  <c r="D69" i="30880"/>
  <c r="D70" i="30880"/>
  <c r="D71" i="30880"/>
  <c r="D72" i="30880"/>
  <c r="D73" i="30880"/>
  <c r="D74" i="30880"/>
  <c r="D75" i="30880"/>
  <c r="D76" i="30880"/>
  <c r="D77" i="30880"/>
  <c r="D3" i="30880"/>
  <c r="DT4" i="30880" l="1"/>
  <c r="DS1" i="30880"/>
  <c r="C61" i="30883" s="1"/>
  <c r="D61" i="30883" s="1"/>
  <c r="DT3" i="30880"/>
  <c r="DG1" i="30880"/>
  <c r="C55" i="30883" s="1"/>
  <c r="D55" i="30883" s="1"/>
  <c r="K1" i="30880"/>
  <c r="C5" i="30883" s="1"/>
  <c r="D5" i="30883" s="1"/>
  <c r="AQ1" i="30880"/>
  <c r="C21" i="30883" s="1"/>
  <c r="D21" i="30883" s="1"/>
  <c r="AG1" i="30880"/>
  <c r="C16" i="30883" s="1"/>
  <c r="D16" i="30883" s="1"/>
  <c r="W1" i="30880"/>
  <c r="C11" i="30883" s="1"/>
  <c r="D11" i="30883" s="1"/>
  <c r="DT43" i="30880"/>
  <c r="DT54" i="30880"/>
  <c r="DT35" i="30880"/>
  <c r="DA1" i="30880"/>
  <c r="C52" i="30883" s="1"/>
  <c r="D52" i="30883" s="1"/>
  <c r="CA1" i="30880"/>
  <c r="C39" i="30883" s="1"/>
  <c r="D39" i="30883" s="1"/>
  <c r="CE1" i="30880"/>
  <c r="C41" i="30883" s="1"/>
  <c r="D41" i="30883" s="1"/>
  <c r="DT61" i="30880"/>
  <c r="DT58" i="30880"/>
  <c r="DT57" i="30880"/>
  <c r="BG1" i="30880"/>
  <c r="C29" i="30883" s="1"/>
  <c r="D29" i="30883" s="1"/>
  <c r="DT51" i="30880"/>
  <c r="DC1" i="30880"/>
  <c r="C53" i="30883" s="1"/>
  <c r="D53" i="30883" s="1"/>
  <c r="BY1" i="30880"/>
  <c r="C38" i="30883" s="1"/>
  <c r="D38" i="30883" s="1"/>
  <c r="CI1" i="30880"/>
  <c r="C43" i="30883" s="1"/>
  <c r="D43" i="30883" s="1"/>
  <c r="DT71" i="30880"/>
  <c r="DM1" i="30880"/>
  <c r="C58" i="30883" s="1"/>
  <c r="D58" i="30883" s="1"/>
  <c r="CM1" i="30880"/>
  <c r="C45" i="30883" s="1"/>
  <c r="D45" i="30883" s="1"/>
  <c r="BU1" i="30880"/>
  <c r="C36" i="30883" s="1"/>
  <c r="D36" i="30883" s="1"/>
  <c r="CK1" i="30880"/>
  <c r="C44" i="30883" s="1"/>
  <c r="D44" i="30883" s="1"/>
  <c r="CC1" i="30880"/>
  <c r="C40" i="30883" s="1"/>
  <c r="D40" i="30883" s="1"/>
  <c r="DI1" i="30880"/>
  <c r="C56" i="30883" s="1"/>
  <c r="D56" i="30883" s="1"/>
  <c r="CU1" i="30880"/>
  <c r="C49" i="30883" s="1"/>
  <c r="D49" i="30883" s="1"/>
  <c r="CO1" i="30880"/>
  <c r="C46" i="30883" s="1"/>
  <c r="D46" i="30883" s="1"/>
  <c r="DT22" i="30880"/>
  <c r="DT17" i="30880"/>
  <c r="DT13" i="30880"/>
  <c r="BW1" i="30880"/>
  <c r="C37" i="30883" s="1"/>
  <c r="D37" i="30883" s="1"/>
  <c r="BE1" i="30880"/>
  <c r="C28" i="30883" s="1"/>
  <c r="D28" i="30883" s="1"/>
  <c r="AU1" i="30880"/>
  <c r="C23" i="30883" s="1"/>
  <c r="D23" i="30883" s="1"/>
  <c r="AY1" i="30880"/>
  <c r="C25" i="30883" s="1"/>
  <c r="D25" i="30883" s="1"/>
  <c r="DT64" i="30880"/>
  <c r="DT46" i="30880"/>
  <c r="BM1" i="30880"/>
  <c r="C32" i="30883" s="1"/>
  <c r="D32" i="30883" s="1"/>
  <c r="DT67" i="30880"/>
  <c r="DT75" i="30880"/>
  <c r="CY1" i="30880"/>
  <c r="C51" i="30883" s="1"/>
  <c r="D51" i="30883" s="1"/>
  <c r="DT69" i="30880"/>
  <c r="BK1" i="30880"/>
  <c r="C31" i="30883" s="1"/>
  <c r="D31" i="30883" s="1"/>
  <c r="BA1" i="30880"/>
  <c r="C26" i="30883" s="1"/>
  <c r="D26" i="30883" s="1"/>
  <c r="DK1" i="30880"/>
  <c r="C57" i="30883" s="1"/>
  <c r="D57" i="30883" s="1"/>
  <c r="BQ1" i="30880"/>
  <c r="C34" i="30883" s="1"/>
  <c r="D34" i="30883" s="1"/>
  <c r="AW1" i="30880"/>
  <c r="C24" i="30883" s="1"/>
  <c r="D24" i="30883" s="1"/>
  <c r="DT77" i="30880"/>
  <c r="BS1" i="30880"/>
  <c r="C35" i="30883" s="1"/>
  <c r="D35" i="30883" s="1"/>
  <c r="CQ1" i="30880"/>
  <c r="C47" i="30883" s="1"/>
  <c r="D47" i="30883" s="1"/>
  <c r="DT70" i="30880"/>
  <c r="BI1" i="30880"/>
  <c r="C30" i="30883" s="1"/>
  <c r="D30" i="30883" s="1"/>
  <c r="BO1" i="30880"/>
  <c r="C33" i="30883" s="1"/>
  <c r="D33" i="30883" s="1"/>
  <c r="DT74" i="30880"/>
  <c r="DE1" i="30880"/>
  <c r="C54" i="30883" s="1"/>
  <c r="D54" i="30883" s="1"/>
  <c r="CS1" i="30880"/>
  <c r="C48" i="30883" s="1"/>
  <c r="D48" i="30883" s="1"/>
  <c r="DQ1" i="30880"/>
  <c r="C60" i="30883" s="1"/>
  <c r="D60" i="30883" s="1"/>
  <c r="CW1" i="30880"/>
  <c r="C50" i="30883" s="1"/>
  <c r="D50" i="30883" s="1"/>
  <c r="DT76" i="30880"/>
  <c r="BC1" i="30880"/>
  <c r="C27" i="30883" s="1"/>
  <c r="D27" i="30883" s="1"/>
  <c r="DT68" i="30880"/>
  <c r="DO1" i="30880"/>
  <c r="C59" i="30883" s="1"/>
  <c r="D59" i="30883" s="1"/>
  <c r="DT73" i="30880"/>
  <c r="DT72" i="30880"/>
  <c r="CG1" i="30880"/>
  <c r="C42" i="30883" s="1"/>
  <c r="D42" i="30883" s="1"/>
  <c r="DT63" i="30880"/>
  <c r="DT62" i="30880"/>
  <c r="DT50" i="30880"/>
  <c r="DT60" i="30880"/>
  <c r="DT48" i="30880"/>
  <c r="DT40" i="30880"/>
  <c r="DT65" i="30880"/>
  <c r="DT44" i="30880"/>
  <c r="DT66" i="30880"/>
  <c r="DT55" i="30880"/>
  <c r="DT49" i="30880"/>
  <c r="DT52" i="30880"/>
  <c r="DT41" i="30880"/>
  <c r="DT47" i="30880"/>
  <c r="DT42" i="30880"/>
  <c r="DT59" i="30880"/>
  <c r="DT53" i="30880"/>
  <c r="DT56" i="30880"/>
  <c r="DT45" i="30880"/>
  <c r="DT37" i="30880"/>
  <c r="DT38" i="30880"/>
  <c r="DT36" i="30880"/>
  <c r="DT34" i="30880"/>
  <c r="DT32" i="30880"/>
  <c r="DT26" i="30880"/>
  <c r="DT25" i="30880"/>
  <c r="DT39" i="30880"/>
  <c r="DT23" i="30880"/>
  <c r="DT31" i="30880"/>
  <c r="DT24" i="30880"/>
  <c r="DT7" i="30880"/>
  <c r="DT33" i="30880"/>
  <c r="DT28" i="30880"/>
  <c r="DT27" i="30880"/>
  <c r="DT30" i="30880"/>
  <c r="DT29" i="30880"/>
  <c r="DT20" i="30880"/>
  <c r="DT16" i="30880"/>
  <c r="DT11" i="30880"/>
  <c r="DT6" i="30880"/>
  <c r="DT18" i="30880"/>
  <c r="DT14" i="30880"/>
  <c r="DT21" i="30880"/>
  <c r="DT19" i="30880"/>
  <c r="DT15" i="30880"/>
  <c r="DT12" i="30880"/>
  <c r="DT10" i="30880"/>
  <c r="DT9" i="30880"/>
  <c r="DT8" i="30880"/>
  <c r="DT5" i="30880"/>
  <c r="AS1" i="30880"/>
  <c r="C22" i="30883" s="1"/>
  <c r="D22" i="30883" s="1"/>
  <c r="AO1" i="30880"/>
  <c r="C20" i="30883" s="1"/>
  <c r="D20" i="30883" s="1"/>
  <c r="AM1" i="30880"/>
  <c r="C19" i="30883" s="1"/>
  <c r="D19" i="30883" s="1"/>
  <c r="AK1" i="30880"/>
  <c r="C18" i="30883" s="1"/>
  <c r="D18" i="30883" s="1"/>
  <c r="AI1" i="30880"/>
  <c r="C17" i="30883" s="1"/>
  <c r="D17" i="30883" s="1"/>
  <c r="AE1" i="30880"/>
  <c r="C15" i="30883" s="1"/>
  <c r="D15" i="30883" s="1"/>
  <c r="AC1" i="30880"/>
  <c r="C14" i="30883" s="1"/>
  <c r="D14" i="30883" s="1"/>
  <c r="AA1" i="30880"/>
  <c r="C13" i="30883" s="1"/>
  <c r="D13" i="30883" s="1"/>
  <c r="Y1" i="30880"/>
  <c r="C12" i="30883" s="1"/>
  <c r="D12" i="30883" s="1"/>
  <c r="U1" i="30880"/>
  <c r="C10" i="30883" s="1"/>
  <c r="D10" i="30883" s="1"/>
  <c r="S1" i="30880"/>
  <c r="C9" i="30883" s="1"/>
  <c r="D9" i="30883" s="1"/>
  <c r="Q1" i="30880"/>
  <c r="C8" i="30883" s="1"/>
  <c r="D8" i="30883" s="1"/>
  <c r="O1" i="30880"/>
  <c r="C7" i="30883" s="1"/>
  <c r="D7" i="30883" s="1"/>
  <c r="M1" i="30880"/>
  <c r="C6" i="30883" s="1"/>
  <c r="D6" i="30883" s="1"/>
  <c r="I1" i="30880"/>
  <c r="C4" i="30883" s="1"/>
  <c r="D4" i="30883" s="1"/>
  <c r="G1" i="30880"/>
  <c r="DT1" i="30880" l="1"/>
  <c r="C3" i="30883"/>
  <c r="D2" i="30879"/>
  <c r="E2" i="30879"/>
  <c r="F2" i="30879"/>
  <c r="G2" i="30879"/>
  <c r="C2" i="30879"/>
  <c r="BO5" i="30879"/>
  <c r="BO6" i="30879"/>
  <c r="BO7" i="30879"/>
  <c r="BO8" i="30879"/>
  <c r="DU75" i="30880" s="1"/>
  <c r="BO9" i="30879"/>
  <c r="DU42" i="30880" s="1"/>
  <c r="BO10" i="30879"/>
  <c r="DU28" i="30880" s="1"/>
  <c r="BO11" i="30879"/>
  <c r="DU31" i="30880" s="1"/>
  <c r="DU74" i="30880"/>
  <c r="BO13" i="30879"/>
  <c r="DU76" i="30880" s="1"/>
  <c r="BO14" i="30879"/>
  <c r="BO15" i="30879"/>
  <c r="DU39" i="30880" s="1"/>
  <c r="BO16" i="30879"/>
  <c r="BO17" i="30879"/>
  <c r="BO18" i="30879"/>
  <c r="DU43" i="30880" s="1"/>
  <c r="BO19" i="30879"/>
  <c r="BO20" i="30879"/>
  <c r="DU4" i="30880" s="1"/>
  <c r="BO21" i="30879"/>
  <c r="DU27" i="30880" s="1"/>
  <c r="BO22" i="30879"/>
  <c r="BO23" i="30879"/>
  <c r="DU67" i="30880" s="1"/>
  <c r="BO24" i="30879"/>
  <c r="DU57" i="30880" s="1"/>
  <c r="BO25" i="30879"/>
  <c r="DU77" i="30880" s="1"/>
  <c r="BO26" i="30879"/>
  <c r="DU73" i="30880" s="1"/>
  <c r="BO27" i="30879"/>
  <c r="DU29" i="30880" s="1"/>
  <c r="BO28" i="30879"/>
  <c r="DU30" i="30880" s="1"/>
  <c r="BO29" i="30879"/>
  <c r="DU34" i="30880" s="1"/>
  <c r="BO30" i="30879"/>
  <c r="DU18" i="30880" s="1"/>
  <c r="BO31" i="30879"/>
  <c r="DU16" i="30880" s="1"/>
  <c r="BO32" i="30879"/>
  <c r="DU72" i="30880" s="1"/>
  <c r="BO33" i="30879"/>
  <c r="BO34" i="30879"/>
  <c r="DU41" i="30880" s="1"/>
  <c r="BO35" i="30879"/>
  <c r="BO36" i="30879"/>
  <c r="DU44" i="30880" s="1"/>
  <c r="BO37" i="30879"/>
  <c r="BO38" i="30879"/>
  <c r="BO39" i="30879"/>
  <c r="BO40" i="30879"/>
  <c r="DU47" i="30880" s="1"/>
  <c r="BO41" i="30879"/>
  <c r="DU24" i="30880" s="1"/>
  <c r="BO42" i="30879"/>
  <c r="DU48" i="30880" s="1"/>
  <c r="BO43" i="30879"/>
  <c r="DU68" i="30880" s="1"/>
  <c r="BO44" i="30879"/>
  <c r="DU6" i="30880" s="1"/>
  <c r="BO45" i="30879"/>
  <c r="BO46" i="30879"/>
  <c r="BO4" i="30879"/>
  <c r="BO51" i="30879" l="1"/>
  <c r="D3" i="30883"/>
  <c r="C1" i="30883"/>
  <c r="DU62" i="30880"/>
  <c r="DU10" i="30880"/>
  <c r="DU63" i="30880"/>
  <c r="DU64" i="30880"/>
  <c r="DU58" i="30880"/>
  <c r="DU60" i="30880"/>
  <c r="DU61" i="30880"/>
  <c r="DU13" i="30880"/>
  <c r="DU14" i="30880"/>
  <c r="DU5" i="30880"/>
  <c r="DU65" i="30880"/>
  <c r="DU66" i="30880"/>
  <c r="DU56" i="30880"/>
  <c r="DU55" i="30880"/>
  <c r="DU23" i="30880"/>
  <c r="DU22" i="30880"/>
  <c r="DU7" i="30880"/>
  <c r="DU15" i="30880"/>
  <c r="DU8" i="30880"/>
  <c r="DU11" i="30880"/>
  <c r="DU59" i="30880"/>
  <c r="DU46" i="30880"/>
  <c r="DU36" i="30880"/>
  <c r="DU45" i="30880"/>
  <c r="DU32" i="30880"/>
  <c r="DU12" i="30880"/>
  <c r="DU3" i="30880"/>
  <c r="DU35" i="30880"/>
  <c r="DU37" i="30880"/>
  <c r="DU19" i="30880"/>
  <c r="DU54" i="30880"/>
  <c r="DU26" i="30880"/>
  <c r="DU20" i="30880"/>
  <c r="DU21" i="30880"/>
  <c r="DU53" i="30880"/>
  <c r="DU50" i="30880"/>
  <c r="DU52" i="30880"/>
  <c r="DU69" i="30880"/>
  <c r="DU71" i="30880"/>
  <c r="DU70" i="30880"/>
  <c r="DU25" i="30880"/>
  <c r="DU49" i="30880"/>
  <c r="DU40" i="30880"/>
  <c r="DU38" i="30880"/>
  <c r="DU51" i="30880"/>
  <c r="E1" i="30879"/>
  <c r="F1" i="30879"/>
  <c r="D1" i="30879"/>
  <c r="G1" i="30879"/>
  <c r="BN52" i="30879"/>
  <c r="R52" i="30879"/>
  <c r="BB52" i="30879"/>
  <c r="AP52" i="30879"/>
  <c r="AD52" i="30879"/>
</calcChain>
</file>

<file path=xl/sharedStrings.xml><?xml version="1.0" encoding="utf-8"?>
<sst xmlns="http://schemas.openxmlformats.org/spreadsheetml/2006/main" count="839" uniqueCount="389">
  <si>
    <t>Brands</t>
  </si>
  <si>
    <t>Source Plant</t>
  </si>
  <si>
    <t>FY26</t>
  </si>
  <si>
    <t>FY27</t>
  </si>
  <si>
    <t>FY28</t>
  </si>
  <si>
    <t>FY29</t>
  </si>
  <si>
    <t>FY30</t>
  </si>
  <si>
    <t>Aug FY26</t>
  </si>
  <si>
    <t>Sep FY26</t>
  </si>
  <si>
    <t>Oct FY26</t>
  </si>
  <si>
    <t>Nov FY26</t>
  </si>
  <si>
    <t>Dec FY26</t>
  </si>
  <si>
    <t>Jan FY26</t>
  </si>
  <si>
    <t>Feb FY26</t>
  </si>
  <si>
    <t>Mar FY26</t>
  </si>
  <si>
    <t>Apr FY26</t>
  </si>
  <si>
    <t>May FY26</t>
  </si>
  <si>
    <t>Jun FY26</t>
  </si>
  <si>
    <t>Jul FY27</t>
  </si>
  <si>
    <t>Aug FY27</t>
  </si>
  <si>
    <t>Sep FY27</t>
  </si>
  <si>
    <t>Oct FY27</t>
  </si>
  <si>
    <t>Nov FY27</t>
  </si>
  <si>
    <t>Dec FY27</t>
  </si>
  <si>
    <t>Jan FY27</t>
  </si>
  <si>
    <t>Feb FY27</t>
  </si>
  <si>
    <t>Mar FY27</t>
  </si>
  <si>
    <t>Apr FY27</t>
  </si>
  <si>
    <t>May FY27</t>
  </si>
  <si>
    <t>Jun FY27</t>
  </si>
  <si>
    <t>Jul FY28</t>
  </si>
  <si>
    <t>Aug FY28</t>
  </si>
  <si>
    <t>Sep FY28</t>
  </si>
  <si>
    <t>Oct FY28</t>
  </si>
  <si>
    <t>Nov FY28</t>
  </si>
  <si>
    <t>Dec FY28</t>
  </si>
  <si>
    <t>Jan FY28</t>
  </si>
  <si>
    <t>Feb FY28</t>
  </si>
  <si>
    <t>Mar FY28</t>
  </si>
  <si>
    <t>Apr FY28</t>
  </si>
  <si>
    <t>May FY28</t>
  </si>
  <si>
    <t>Jun FY28</t>
  </si>
  <si>
    <t>Jul FY29</t>
  </si>
  <si>
    <t>Aug FY29</t>
  </si>
  <si>
    <t>Sep FY29</t>
  </si>
  <si>
    <t>Oct FY29</t>
  </si>
  <si>
    <t>Nov FY29</t>
  </si>
  <si>
    <t>Dec FY29</t>
  </si>
  <si>
    <t>Jan FY29</t>
  </si>
  <si>
    <t>Feb FY29</t>
  </si>
  <si>
    <t>Mar FY29</t>
  </si>
  <si>
    <t>Apr FY29</t>
  </si>
  <si>
    <t>May FY29</t>
  </si>
  <si>
    <t>Jun FY29</t>
  </si>
  <si>
    <t>Jul FY30</t>
  </si>
  <si>
    <t>Aug FY30</t>
  </si>
  <si>
    <t>Sep FY30</t>
  </si>
  <si>
    <t>Oct FY30</t>
  </si>
  <si>
    <t>Nov FY30</t>
  </si>
  <si>
    <t>Dec FY30</t>
  </si>
  <si>
    <t>Jan FY30</t>
  </si>
  <si>
    <t>Feb FY30</t>
  </si>
  <si>
    <t>Mar FY30</t>
  </si>
  <si>
    <t>Apr FY30</t>
  </si>
  <si>
    <t>May FY30</t>
  </si>
  <si>
    <t>Jun FY30</t>
  </si>
  <si>
    <t>5 Year Total</t>
  </si>
  <si>
    <t>ADROIT</t>
  </si>
  <si>
    <t>Salvarcar _ Juarez</t>
  </si>
  <si>
    <t>AVANTI PLUS</t>
  </si>
  <si>
    <t>BRITE TIP</t>
  </si>
  <si>
    <t>BRITE TIP (MODIFIED)</t>
  </si>
  <si>
    <t>BRITE TIP RADIANZ</t>
  </si>
  <si>
    <t>CATH EXT</t>
  </si>
  <si>
    <t>CORPACK</t>
  </si>
  <si>
    <t>CORPACK (MODIFIED)</t>
  </si>
  <si>
    <t>ENROUTE</t>
  </si>
  <si>
    <t>EXOSEAL</t>
  </si>
  <si>
    <t>FRONTRUNNER</t>
  </si>
  <si>
    <t>HIGH FLOW</t>
  </si>
  <si>
    <t>INCRAFT</t>
  </si>
  <si>
    <t>INFINITI</t>
  </si>
  <si>
    <t>INFINITI (MODIFIED)</t>
  </si>
  <si>
    <t>INFINITI AMBI</t>
  </si>
  <si>
    <t>Long Sheath</t>
  </si>
  <si>
    <t>MULTIPACK</t>
  </si>
  <si>
    <t>MULTIPACK (MODIFIED)</t>
  </si>
  <si>
    <t>OPTEASE</t>
  </si>
  <si>
    <t>OPTEASE RETRIEVAL CATHETER</t>
  </si>
  <si>
    <t>OUTBACK ELITE</t>
  </si>
  <si>
    <t>PRECISE PRO</t>
  </si>
  <si>
    <t>PRIMOPAC</t>
  </si>
  <si>
    <t>PROPAC</t>
  </si>
  <si>
    <t>PROPAC (MODIFIED)</t>
  </si>
  <si>
    <t>RAILWAY</t>
  </si>
  <si>
    <t>RAIN Sheath Transradial</t>
  </si>
  <si>
    <t>S.M.A.R.T. RADIANZ</t>
  </si>
  <si>
    <t>SMART</t>
  </si>
  <si>
    <t>SUPER TORQUE MARKER BANDS</t>
  </si>
  <si>
    <t>SUPERTORQUE</t>
  </si>
  <si>
    <t>SUPERTORQUE (MODIFIED)</t>
  </si>
  <si>
    <t>SUPERTORQUE PLUS</t>
  </si>
  <si>
    <t>SUPERTORQUE PLUS (MODIFIED)</t>
  </si>
  <si>
    <t>TEMPO</t>
  </si>
  <si>
    <t>TEMPO (MODIFIED)</t>
  </si>
  <si>
    <t>TEMPO AQUA</t>
  </si>
  <si>
    <t>TEMPO AQUA (MODIFIED)</t>
  </si>
  <si>
    <t>TRAPEASE</t>
  </si>
  <si>
    <t>VESSEL DILATOR</t>
  </si>
  <si>
    <t>VISTA BRITE TIP</t>
  </si>
  <si>
    <t>VISTA BRITE TIP (MODIFIED)</t>
  </si>
  <si>
    <t>PREFACE</t>
  </si>
  <si>
    <t>MYNX</t>
  </si>
  <si>
    <t>Cordis_Santa Clara</t>
  </si>
  <si>
    <t>CONTROL</t>
  </si>
  <si>
    <t>Total (SUBTOTAL)</t>
  </si>
  <si>
    <t>FY26 Total &gt;&gt;&gt;</t>
  </si>
  <si>
    <t>FY27 Total &gt;&gt;&gt;</t>
  </si>
  <si>
    <t>FY28 Total &gt;&gt;&gt;</t>
  </si>
  <si>
    <t>FY29 Total &gt;&gt;&gt;</t>
  </si>
  <si>
    <t>FY30 Total &gt;&gt;&gt;</t>
  </si>
  <si>
    <t>*11 periods only</t>
  </si>
  <si>
    <t>Resource ID</t>
  </si>
  <si>
    <t>Family</t>
  </si>
  <si>
    <t>Brand</t>
  </si>
  <si>
    <t>Concat (ID/BRAND)</t>
  </si>
  <si>
    <t>Resource ID % Brand</t>
  </si>
  <si>
    <t>Aug FY26 - BRAND TOTAL</t>
  </si>
  <si>
    <t>Aug FY26 - RESOURCE ID QTY</t>
  </si>
  <si>
    <t>Sep FY26 - BRAND TOTAL</t>
  </si>
  <si>
    <t>Sep FY26 - Resource ID QTY</t>
  </si>
  <si>
    <t>Oct FY26 - BRAND TOTAL</t>
  </si>
  <si>
    <t>Oct FY26 - Resource ID QTY</t>
  </si>
  <si>
    <t>Nov FY26 - BRAND TOTAL</t>
  </si>
  <si>
    <t>Nov FY26 - Resource ID QTY</t>
  </si>
  <si>
    <t>Dec FY26 - BRAND TOTAL</t>
  </si>
  <si>
    <t>Dec FY26 - Resource ID QTY</t>
  </si>
  <si>
    <t>Jan FY26 - BRAND TOTAL</t>
  </si>
  <si>
    <t>Jan FY26 - Resource ID QTY</t>
  </si>
  <si>
    <t>Feb FY26 - BRAND TOTAL</t>
  </si>
  <si>
    <t>Feb FY26 - Resource ID QTY</t>
  </si>
  <si>
    <t>Mar FY26 - BRAND TOTAL</t>
  </si>
  <si>
    <t>Mar FY26 - Resource ID QTY</t>
  </si>
  <si>
    <t>Apr FY26 - BRAND TOTAL</t>
  </si>
  <si>
    <t>Apr FY26 - Resource ID QTY</t>
  </si>
  <si>
    <t>May FY26 - BRAND TOTAL</t>
  </si>
  <si>
    <t>May FY26 - Resource ID QTY</t>
  </si>
  <si>
    <t>Jun FY26 - BRAND TOTAL</t>
  </si>
  <si>
    <t>Jun FY26 - Resource ID QTY</t>
  </si>
  <si>
    <t>Jul FY27 - BRAND TOTAL</t>
  </si>
  <si>
    <t>Jul FY27 - Resource ID QTY</t>
  </si>
  <si>
    <t>Aug FY27 - BRAND TOTAL</t>
  </si>
  <si>
    <t>Aug FY27 - Resource ID QTY</t>
  </si>
  <si>
    <t>Sep FY27 - BRAND TOTAL</t>
  </si>
  <si>
    <t>Sep FY27 - Resource ID QTY</t>
  </si>
  <si>
    <t>Oct FY27 - BRAND TOTAL</t>
  </si>
  <si>
    <t>Oct FY27 - Resource ID QTY</t>
  </si>
  <si>
    <t>Nov FY27 - BRAND TOTAL</t>
  </si>
  <si>
    <t>Nov FY27 - Resource ID QTY</t>
  </si>
  <si>
    <t>Dec FY27 - BRAND TOTAL</t>
  </si>
  <si>
    <t>Dec FY27 - Resource ID QTY</t>
  </si>
  <si>
    <t>Jan FY27 - BRAND TOTAL</t>
  </si>
  <si>
    <t>Jan FY27 - Resource ID QTY</t>
  </si>
  <si>
    <t>Feb FY27 - BRAND TOTAL</t>
  </si>
  <si>
    <t>Feb FY27 - Resource ID QTY</t>
  </si>
  <si>
    <t>Mar FY27 - BRAND TOTAL</t>
  </si>
  <si>
    <t>Mar FY27 - Resource ID QTY</t>
  </si>
  <si>
    <t>Apr FY27 - BRAND TOTAL</t>
  </si>
  <si>
    <t>Apr FY27 - Resource ID QTY</t>
  </si>
  <si>
    <t>May FY27 - BRAND TOTAL</t>
  </si>
  <si>
    <t>May FY27 - Resource ID QTY</t>
  </si>
  <si>
    <t>Jun FY27 - BRAND TOTAL</t>
  </si>
  <si>
    <t>Jun FY27 - Resource ID QTY</t>
  </si>
  <si>
    <t>Jul FY28 - BRAND TOTAL</t>
  </si>
  <si>
    <t>Jul FY28 - Resource ID QTY</t>
  </si>
  <si>
    <t>Aug FY28 - BRAND TOTAL</t>
  </si>
  <si>
    <t>Aug FY28 - Resource ID QTY</t>
  </si>
  <si>
    <t>Sep FY28 - BRAND TOTAL</t>
  </si>
  <si>
    <t>Sep FY28 - Resource ID QTY</t>
  </si>
  <si>
    <t>Oct FY28 - BRAND TOTAL</t>
  </si>
  <si>
    <t>Oct FY28 - Resource ID QTY</t>
  </si>
  <si>
    <t>Nov FY28 - BRAND TOTAL</t>
  </si>
  <si>
    <t>Nov FY28 - Resource ID QTY</t>
  </si>
  <si>
    <t>Dec FY28 - BRAND TOTAL</t>
  </si>
  <si>
    <t>Dec FY28 - Resource ID QTY</t>
  </si>
  <si>
    <t>Jan FY28 - BRAND TOTAL</t>
  </si>
  <si>
    <t>Jan FY28 - Resource ID QTY</t>
  </si>
  <si>
    <t>Feb FY28 - BRAND TOTAL</t>
  </si>
  <si>
    <t>Feb FY28 - Resource ID QTY</t>
  </si>
  <si>
    <t>Mar FY28 - BRAND TOTAL</t>
  </si>
  <si>
    <t>Mar FY28 - Resource ID QTY</t>
  </si>
  <si>
    <t>Apr FY28 - BRAND TOTAL</t>
  </si>
  <si>
    <t>Apr FY28 - Resource ID QTY</t>
  </si>
  <si>
    <t>May FY28 - BRAND TOTAL</t>
  </si>
  <si>
    <t>May FY28 - Resource ID QTY</t>
  </si>
  <si>
    <t>Jun FY28 - BRAND TOTAL</t>
  </si>
  <si>
    <t>Jun FY28 - Resource ID QTY</t>
  </si>
  <si>
    <t>Jul FY29 - BRAND TOTAL</t>
  </si>
  <si>
    <t>Jul FY29 - Resource ID QTY</t>
  </si>
  <si>
    <t>Aug FY29 - BRAND TOTAL</t>
  </si>
  <si>
    <t>Aug FY29 - Resource ID QTY</t>
  </si>
  <si>
    <t>Sep FY29 - BRAND TOTAL</t>
  </si>
  <si>
    <t>Sep FY29 - Resource ID QTY</t>
  </si>
  <si>
    <t>Oct FY29 - BRAND TOTAL</t>
  </si>
  <si>
    <t>Oct FY29 - Resource ID QTY</t>
  </si>
  <si>
    <t>Nov FY29 - BRAND TOTAL</t>
  </si>
  <si>
    <t>Nov FY29 - Resource ID QTY</t>
  </si>
  <si>
    <t>Dec FY29 - BRAND TOTAL</t>
  </si>
  <si>
    <t>Dec FY29 - Resource ID QTY</t>
  </si>
  <si>
    <t>Jan FY29 - BRAND TOTAL</t>
  </si>
  <si>
    <t>Jan FY29 - Resource ID QTY</t>
  </si>
  <si>
    <t>Feb FY29 - BRAND TOTAL</t>
  </si>
  <si>
    <t>Feb FY29 - Resource ID QTY</t>
  </si>
  <si>
    <t>Mar FY29 - BRAND TOTAL</t>
  </si>
  <si>
    <t>Mar FY29 - Resource ID QTY</t>
  </si>
  <si>
    <t>Apr FY29 - BRAND TOTAL</t>
  </si>
  <si>
    <t>Apr FY29 - Resource ID QTY</t>
  </si>
  <si>
    <t>May FY29 - BRAND TOTAL</t>
  </si>
  <si>
    <t>May FY29 - Resource ID QTY</t>
  </si>
  <si>
    <t>Jun FY29 - BRAND TOTAL</t>
  </si>
  <si>
    <t>Jun FY29 - Resource ID QTY</t>
  </si>
  <si>
    <t>Jul FY30 - BRAND TOTAL</t>
  </si>
  <si>
    <t>Jul FY30 - Resource ID QTY</t>
  </si>
  <si>
    <t>Aug FY30 - BRAND TOTAL</t>
  </si>
  <si>
    <t>Aug FY30 - Resource ID QTY</t>
  </si>
  <si>
    <t>Sep FY30 - BRAND TOTAL</t>
  </si>
  <si>
    <t>Sep FY30 - Resource ID QTY</t>
  </si>
  <si>
    <t>Oct FY30 - BRAND TOTAL</t>
  </si>
  <si>
    <t>Oct FY30 - Resource ID QTY</t>
  </si>
  <si>
    <t>Nov FY30 - BRAND TOTAL</t>
  </si>
  <si>
    <t>Nov FY30 - Resource ID QTY</t>
  </si>
  <si>
    <t>Dec FY30 - BRAND TOTAL</t>
  </si>
  <si>
    <t>Dec FY30 - Resource ID QTY</t>
  </si>
  <si>
    <t>Jan FY30 - BRAND TOTAL</t>
  </si>
  <si>
    <t>Jan FY30 - Resource ID QTY</t>
  </si>
  <si>
    <t>Feb FY30 - BRAND TOTAL</t>
  </si>
  <si>
    <t>Feb FY30 - Resource ID QTY</t>
  </si>
  <si>
    <t>Mar FY30 - BRAND TOTAL</t>
  </si>
  <si>
    <t>Mar FY30 - Resource ID QTY</t>
  </si>
  <si>
    <t>Apr FY30 - BRAND TOTAL</t>
  </si>
  <si>
    <t>Apr FY30 - Resource ID QTY</t>
  </si>
  <si>
    <t>May FY30 - BRAND TOTAL</t>
  </si>
  <si>
    <t>May FY30 - Resource ID QTY</t>
  </si>
  <si>
    <t>Jun FY30 - BRAND TOTAL</t>
  </si>
  <si>
    <t>Jun FY30 - Resource ID QTY</t>
  </si>
  <si>
    <t>A00A</t>
  </si>
  <si>
    <t>CSI</t>
  </si>
  <si>
    <t>LONG SHEATH</t>
  </si>
  <si>
    <t>A00B</t>
  </si>
  <si>
    <t>A01</t>
  </si>
  <si>
    <t>A02A</t>
  </si>
  <si>
    <t>A02B</t>
  </si>
  <si>
    <t>A02C</t>
  </si>
  <si>
    <t>A02D</t>
  </si>
  <si>
    <t>Rain Tibial/Pedal</t>
  </si>
  <si>
    <t>A04</t>
  </si>
  <si>
    <t>C03C</t>
  </si>
  <si>
    <t>DX</t>
  </si>
  <si>
    <t>C03D</t>
  </si>
  <si>
    <t>C03E</t>
  </si>
  <si>
    <t>C03F</t>
  </si>
  <si>
    <t>C03G</t>
  </si>
  <si>
    <t>C03H</t>
  </si>
  <si>
    <t>C04A</t>
  </si>
  <si>
    <t>C04B</t>
  </si>
  <si>
    <t>PRIMOPAC (MODIFIED)</t>
  </si>
  <si>
    <t>C04C</t>
  </si>
  <si>
    <t>C04D</t>
  </si>
  <si>
    <t>C04E</t>
  </si>
  <si>
    <t>C05</t>
  </si>
  <si>
    <t>C12A</t>
  </si>
  <si>
    <t>C12B</t>
  </si>
  <si>
    <t>C12C</t>
  </si>
  <si>
    <t>C12D</t>
  </si>
  <si>
    <t>E00A</t>
  </si>
  <si>
    <t>GC</t>
  </si>
  <si>
    <t>E00B</t>
  </si>
  <si>
    <t>E00C</t>
  </si>
  <si>
    <t>E00D</t>
  </si>
  <si>
    <t>E01A</t>
  </si>
  <si>
    <t>E01B</t>
  </si>
  <si>
    <t>E02A</t>
  </si>
  <si>
    <t>E02B</t>
  </si>
  <si>
    <t>E02C</t>
  </si>
  <si>
    <t>N03A</t>
  </si>
  <si>
    <t>AAA</t>
  </si>
  <si>
    <t>N03B</t>
  </si>
  <si>
    <t>P00</t>
  </si>
  <si>
    <t>TMS</t>
  </si>
  <si>
    <t>T01A</t>
  </si>
  <si>
    <t>T01B</t>
  </si>
  <si>
    <t>T01C</t>
  </si>
  <si>
    <t>T01D</t>
  </si>
  <si>
    <t>T02A</t>
  </si>
  <si>
    <t>Precise</t>
  </si>
  <si>
    <t>T02B</t>
  </si>
  <si>
    <t>Enroute</t>
  </si>
  <si>
    <t>T03</t>
  </si>
  <si>
    <t>Brite Tip Radianz</t>
  </si>
  <si>
    <t>V00</t>
  </si>
  <si>
    <t>Exoseal</t>
  </si>
  <si>
    <t>X00</t>
  </si>
  <si>
    <t>Outback Elite</t>
  </si>
  <si>
    <t>MYNX Control</t>
  </si>
  <si>
    <t>Santa_Clara</t>
  </si>
  <si>
    <t>MYNX Control Venous</t>
  </si>
  <si>
    <t>MYNX GRIP</t>
  </si>
  <si>
    <t>MYNX TOTAL</t>
  </si>
  <si>
    <t>Selution PTA</t>
  </si>
  <si>
    <t>Irvine</t>
  </si>
  <si>
    <t>Selution PTCA</t>
  </si>
  <si>
    <t>Month</t>
  </si>
  <si>
    <t>Fiscal Year</t>
  </si>
  <si>
    <t>August</t>
  </si>
  <si>
    <t>FY'26</t>
  </si>
  <si>
    <t>G1</t>
  </si>
  <si>
    <t>September</t>
  </si>
  <si>
    <t>I1</t>
  </si>
  <si>
    <t>October</t>
  </si>
  <si>
    <t>K1</t>
  </si>
  <si>
    <t>November</t>
  </si>
  <si>
    <t>M1</t>
  </si>
  <si>
    <t>December</t>
  </si>
  <si>
    <t>O1</t>
  </si>
  <si>
    <t>January</t>
  </si>
  <si>
    <t>Q1</t>
  </si>
  <si>
    <t>February</t>
  </si>
  <si>
    <t>S1</t>
  </si>
  <si>
    <t>March</t>
  </si>
  <si>
    <t>U1</t>
  </si>
  <si>
    <t>April</t>
  </si>
  <si>
    <t>W1</t>
  </si>
  <si>
    <t>May</t>
  </si>
  <si>
    <t>Y1</t>
  </si>
  <si>
    <t>June</t>
  </si>
  <si>
    <t>AA1</t>
  </si>
  <si>
    <t>July</t>
  </si>
  <si>
    <t>FY'27</t>
  </si>
  <si>
    <t>AC1</t>
  </si>
  <si>
    <t>AE1</t>
  </si>
  <si>
    <t>AG1</t>
  </si>
  <si>
    <t>AI1</t>
  </si>
  <si>
    <t>AK1</t>
  </si>
  <si>
    <t>AM1</t>
  </si>
  <si>
    <t>AO1</t>
  </si>
  <si>
    <t>AQ1</t>
  </si>
  <si>
    <t>AS1</t>
  </si>
  <si>
    <t>AU1</t>
  </si>
  <si>
    <t>AW1</t>
  </si>
  <si>
    <t>AY1</t>
  </si>
  <si>
    <t>FY'28</t>
  </si>
  <si>
    <t>BA1</t>
  </si>
  <si>
    <t>BC1</t>
  </si>
  <si>
    <t>BE1</t>
  </si>
  <si>
    <t>BG1</t>
  </si>
  <si>
    <t>BI1</t>
  </si>
  <si>
    <t>BK1</t>
  </si>
  <si>
    <t>BM1</t>
  </si>
  <si>
    <t>BO1</t>
  </si>
  <si>
    <t>BQ1</t>
  </si>
  <si>
    <t>BS1</t>
  </si>
  <si>
    <t>BU1</t>
  </si>
  <si>
    <t>BW1</t>
  </si>
  <si>
    <t>FY'29</t>
  </si>
  <si>
    <t>BY1</t>
  </si>
  <si>
    <t>CA1</t>
  </si>
  <si>
    <t>CC1</t>
  </si>
  <si>
    <t>CE1</t>
  </si>
  <si>
    <t>CG1</t>
  </si>
  <si>
    <t>CI1</t>
  </si>
  <si>
    <t>CK1</t>
  </si>
  <si>
    <t>CM1</t>
  </si>
  <si>
    <t>CO1</t>
  </si>
  <si>
    <t>CQ1</t>
  </si>
  <si>
    <t>CS1</t>
  </si>
  <si>
    <t>CU1</t>
  </si>
  <si>
    <t>FY'30</t>
  </si>
  <si>
    <t>CW1</t>
  </si>
  <si>
    <t>CY1</t>
  </si>
  <si>
    <t>DA1</t>
  </si>
  <si>
    <t>DC1</t>
  </si>
  <si>
    <t>DE1</t>
  </si>
  <si>
    <t>DG1</t>
  </si>
  <si>
    <t>DI1</t>
  </si>
  <si>
    <t>DK1</t>
  </si>
  <si>
    <t>DM1</t>
  </si>
  <si>
    <t>DO1</t>
  </si>
  <si>
    <t>DQ1</t>
  </si>
  <si>
    <t>DS1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</si>
</sst>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theme="4"/>
      </patternFill>
    </fill>
    <fill>
      <patternFill patternType="solid">
        <fgColor rgb="FFF0F4FA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</cellStyleXfs>
  <cellXfs count="49">
    <xf numFmtId="0" fontId="0" fillId="0" borderId="0" xfId="0"/>
    <xf numFmtId="0" fontId="4" fillId="2" borderId="0" xfId="0" applyFont="1" applyFill="1"/>
    <xf numFmtId="0" fontId="5" fillId="0" borderId="0" xfId="0" applyFont="1" applyAlignment="1">
      <alignment horizontal="left"/>
    </xf>
    <xf numFmtId="164" fontId="5" fillId="0" borderId="0" xfId="1" applyNumberFormat="1" applyFont="1"/>
    <xf numFmtId="164" fontId="6" fillId="0" borderId="0" xfId="0" applyNumberFormat="1" applyFont="1"/>
    <xf numFmtId="0" fontId="6" fillId="0" borderId="0" xfId="0" applyFont="1"/>
    <xf numFmtId="164" fontId="6" fillId="0" borderId="0" xfId="1" applyNumberFormat="1" applyFont="1"/>
    <xf numFmtId="0" fontId="6" fillId="0" borderId="0" xfId="0" applyFont="1" applyAlignment="1">
      <alignment horizontal="center"/>
    </xf>
    <xf numFmtId="164" fontId="0" fillId="0" borderId="0" xfId="0" applyNumberFormat="1"/>
    <xf numFmtId="164" fontId="6" fillId="0" borderId="0" xfId="0" applyNumberFormat="1" applyFont="1" applyAlignment="1">
      <alignment horizontal="center"/>
    </xf>
    <xf numFmtId="0" fontId="8" fillId="0" borderId="0" xfId="3"/>
    <xf numFmtId="164" fontId="7" fillId="0" borderId="0" xfId="1" applyNumberFormat="1" applyFont="1" applyAlignment="1">
      <alignment horizontal="right"/>
    </xf>
    <xf numFmtId="0" fontId="7" fillId="3" borderId="0" xfId="0" applyFont="1" applyFill="1" applyAlignment="1">
      <alignment horizontal="left"/>
    </xf>
    <xf numFmtId="164" fontId="7" fillId="3" borderId="0" xfId="1" applyNumberFormat="1" applyFont="1" applyFill="1"/>
    <xf numFmtId="0" fontId="6" fillId="3" borderId="0" xfId="0" applyFont="1" applyFill="1"/>
    <xf numFmtId="0" fontId="5" fillId="3" borderId="0" xfId="0" applyFont="1" applyFill="1" applyAlignment="1">
      <alignment horizontal="left"/>
    </xf>
    <xf numFmtId="164" fontId="5" fillId="3" borderId="0" xfId="1" applyNumberFormat="1" applyFont="1" applyFill="1"/>
    <xf numFmtId="164" fontId="7" fillId="3" borderId="0" xfId="1" applyNumberFormat="1" applyFont="1" applyFill="1" applyAlignment="1">
      <alignment horizontal="right"/>
    </xf>
    <xf numFmtId="164" fontId="0" fillId="3" borderId="0" xfId="0" applyNumberFormat="1" applyFill="1"/>
    <xf numFmtId="0" fontId="0" fillId="3" borderId="0" xfId="0" applyFill="1"/>
    <xf numFmtId="164" fontId="7" fillId="0" borderId="0" xfId="1" applyNumberFormat="1" applyFont="1"/>
    <xf numFmtId="9" fontId="0" fillId="0" borderId="0" xfId="2" applyFont="1"/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5" fillId="0" borderId="0" xfId="0" applyNumberFormat="1" applyFont="1" applyAlignment="1">
      <alignment horizontal="center"/>
    </xf>
    <xf numFmtId="9" fontId="0" fillId="0" borderId="0" xfId="2" applyFont="1" applyAlignment="1">
      <alignment horizontal="center"/>
    </xf>
    <xf numFmtId="0" fontId="4" fillId="4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6" fillId="6" borderId="1" xfId="1" applyNumberFormat="1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8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78D0A4C1-C8E4-486D-9143-0C65D7D86C9E}"/>
    <cellStyle name="Percent" xfId="2" builtinId="5"/>
  </cellStyles>
  <dxfs count="6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BA92-ECEC-4749-9912-E295587315FF}">
  <sheetPr>
    <tabColor rgb="FF92D050"/>
  </sheetPr>
  <dimension ref="A1:BP147"/>
  <sheetViews>
    <sheetView zoomScale="96" zoomScaleNormal="96" workbookViewId="0">
      <pane xSplit="2" ySplit="3" topLeftCell="H4" activePane="bottomRight" state="frozen"/>
      <selection pane="topRight" activeCell="C1" sqref="C1"/>
      <selection pane="bottomLeft" activeCell="A2" sqref="A2"/>
      <selection pane="bottomRight" activeCell="H4" sqref="H4"/>
    </sheetView>
  </sheetViews>
  <sheetFormatPr defaultRowHeight="12.5" x14ac:dyDescent="0.25"/>
  <cols>
    <col min="1" max="1" width="33.26953125" bestFit="1" customWidth="1"/>
    <col min="2" max="2" width="18.26953125" bestFit="1" customWidth="1"/>
    <col min="3" max="7" width="10.1796875" style="25" hidden="1" customWidth="1"/>
    <col min="8" max="16" width="12.81640625" bestFit="1" customWidth="1"/>
    <col min="17" max="17" width="16.453125" bestFit="1" customWidth="1"/>
    <col min="18" max="28" width="12.81640625" bestFit="1" customWidth="1"/>
    <col min="29" max="29" width="15.26953125" bestFit="1" customWidth="1"/>
    <col min="30" max="40" width="12.81640625" bestFit="1" customWidth="1"/>
    <col min="41" max="41" width="15.26953125" bestFit="1" customWidth="1"/>
    <col min="42" max="52" width="12.81640625" bestFit="1" customWidth="1"/>
    <col min="53" max="53" width="15.26953125" bestFit="1" customWidth="1"/>
    <col min="54" max="64" width="12.81640625" bestFit="1" customWidth="1"/>
    <col min="65" max="65" width="15.26953125" bestFit="1" customWidth="1"/>
    <col min="66" max="66" width="12.81640625" bestFit="1" customWidth="1"/>
    <col min="67" max="67" width="13.7265625" bestFit="1" customWidth="1"/>
    <col min="68" max="68" width="14.54296875" customWidth="1"/>
  </cols>
  <sheetData>
    <row r="1" spans="1:68" x14ac:dyDescent="0.25">
      <c r="D1" s="27">
        <f>(D2-C2)/C2</f>
        <v>0.11337297770580816</v>
      </c>
      <c r="E1" s="27">
        <f t="shared" ref="E1:G1" si="0">(E2-D2)/D2</f>
        <v>7.518664360459916E-2</v>
      </c>
      <c r="F1" s="27">
        <f t="shared" si="0"/>
        <v>7.4465916443180083E-2</v>
      </c>
      <c r="G1" s="27">
        <f t="shared" si="0"/>
        <v>7.1498919474211345E-2</v>
      </c>
    </row>
    <row r="2" spans="1:68" s="37" customFormat="1" x14ac:dyDescent="0.25">
      <c r="C2" s="38">
        <f>SUBTOTAL(9,C4:C46)</f>
        <v>27062166.590468004</v>
      </c>
      <c r="D2" s="38">
        <f>SUBTOTAL(9,D4:D46)</f>
        <v>30130285</v>
      </c>
      <c r="E2" s="38">
        <f>SUBTOTAL(9,E4:E46)</f>
        <v>32395680</v>
      </c>
      <c r="F2" s="38">
        <f>SUBTOTAL(9,F4:F46)</f>
        <v>34808054</v>
      </c>
      <c r="G2" s="38">
        <f>SUBTOTAL(9,G4:G46)</f>
        <v>37296792.25</v>
      </c>
      <c r="H2" s="38">
        <f t="shared" ref="H2:AM2" si="1">SUBTOTAL(9,H4:H50)</f>
        <v>2827759.8912339997</v>
      </c>
      <c r="I2" s="38">
        <f t="shared" si="1"/>
        <v>3335531.9623529995</v>
      </c>
      <c r="J2" s="38">
        <f t="shared" si="1"/>
        <v>2770654.533756</v>
      </c>
      <c r="K2" s="38">
        <f t="shared" si="1"/>
        <v>2577076</v>
      </c>
      <c r="L2" s="38">
        <f t="shared" si="1"/>
        <v>1974451.5</v>
      </c>
      <c r="M2" s="38">
        <f t="shared" si="1"/>
        <v>2551631.3650000002</v>
      </c>
      <c r="N2" s="38">
        <f t="shared" si="1"/>
        <v>2511649.7259499999</v>
      </c>
      <c r="O2" s="38">
        <f t="shared" si="1"/>
        <v>2508560.7177284998</v>
      </c>
      <c r="P2" s="38">
        <f t="shared" si="1"/>
        <v>2488765.4792603548</v>
      </c>
      <c r="Q2" s="38">
        <f t="shared" si="1"/>
        <v>2505558.1536381654</v>
      </c>
      <c r="R2" s="38">
        <f t="shared" si="1"/>
        <v>2341221.8882473106</v>
      </c>
      <c r="S2" s="38">
        <f t="shared" si="1"/>
        <v>2662822.8348947298</v>
      </c>
      <c r="T2" s="38">
        <f t="shared" si="1"/>
        <v>2746368.5</v>
      </c>
      <c r="U2" s="38">
        <f t="shared" si="1"/>
        <v>2551050</v>
      </c>
      <c r="V2" s="38">
        <f t="shared" si="1"/>
        <v>2640764</v>
      </c>
      <c r="W2" s="38">
        <f t="shared" si="1"/>
        <v>2569639.5</v>
      </c>
      <c r="X2" s="38">
        <f t="shared" si="1"/>
        <v>2832820.3650000002</v>
      </c>
      <c r="Y2" s="38">
        <f t="shared" si="1"/>
        <v>2764321.7259499999</v>
      </c>
      <c r="Z2" s="38">
        <f t="shared" si="1"/>
        <v>2516867.7177284998</v>
      </c>
      <c r="AA2" s="38">
        <f t="shared" si="1"/>
        <v>2593154.4792603548</v>
      </c>
      <c r="AB2" s="38">
        <f t="shared" si="1"/>
        <v>2685265.1536381654</v>
      </c>
      <c r="AC2" s="38">
        <f t="shared" si="1"/>
        <v>2712595.8882473106</v>
      </c>
      <c r="AD2" s="38">
        <f t="shared" si="1"/>
        <v>2426507.8348947298</v>
      </c>
      <c r="AE2" s="38">
        <f t="shared" si="1"/>
        <v>2862685.149941572</v>
      </c>
      <c r="AF2" s="38">
        <f t="shared" si="1"/>
        <v>2958646.6349999998</v>
      </c>
      <c r="AG2" s="38">
        <f t="shared" si="1"/>
        <v>2744233.4</v>
      </c>
      <c r="AH2" s="38">
        <f t="shared" si="1"/>
        <v>2830125.41</v>
      </c>
      <c r="AI2" s="38">
        <f t="shared" si="1"/>
        <v>2753092.3650000002</v>
      </c>
      <c r="AJ2" s="38">
        <f t="shared" si="1"/>
        <v>3033686.7259499999</v>
      </c>
      <c r="AK2" s="38">
        <f t="shared" si="1"/>
        <v>2963034.7177284998</v>
      </c>
      <c r="AL2" s="38">
        <f t="shared" si="1"/>
        <v>2705103.4792603548</v>
      </c>
      <c r="AM2" s="38">
        <f t="shared" si="1"/>
        <v>2788637.1536381654</v>
      </c>
      <c r="AN2" s="38">
        <f t="shared" ref="AN2:BN2" si="2">SUBTOTAL(9,AN4:AN50)</f>
        <v>2891796.8882473106</v>
      </c>
      <c r="AO2" s="38">
        <f t="shared" si="2"/>
        <v>2938068.8348947298</v>
      </c>
      <c r="AP2" s="38">
        <f t="shared" si="2"/>
        <v>2621780.149941572</v>
      </c>
      <c r="AQ2" s="38">
        <f t="shared" si="2"/>
        <v>3089910.9944398189</v>
      </c>
      <c r="AR2" s="38">
        <f t="shared" si="2"/>
        <v>3199570.5440500001</v>
      </c>
      <c r="AS2" s="38">
        <f t="shared" si="2"/>
        <v>2963219.3620000002</v>
      </c>
      <c r="AT2" s="38">
        <f t="shared" si="2"/>
        <v>3043101.3623000002</v>
      </c>
      <c r="AU2" s="38">
        <f t="shared" si="2"/>
        <v>2961302.7259499999</v>
      </c>
      <c r="AV2" s="38">
        <f t="shared" si="2"/>
        <v>3263389.7177284998</v>
      </c>
      <c r="AW2" s="38">
        <f t="shared" si="2"/>
        <v>3191616.9792603548</v>
      </c>
      <c r="AX2" s="38">
        <f t="shared" si="2"/>
        <v>2929497.2036381653</v>
      </c>
      <c r="AY2" s="38">
        <f t="shared" si="2"/>
        <v>2980869.3882473106</v>
      </c>
      <c r="AZ2" s="38">
        <f t="shared" si="2"/>
        <v>3082494.3348947298</v>
      </c>
      <c r="BA2" s="38">
        <f t="shared" si="2"/>
        <v>3134658.649941572</v>
      </c>
      <c r="BB2" s="38">
        <f t="shared" si="2"/>
        <v>2792119.9944398189</v>
      </c>
      <c r="BC2" s="38">
        <f t="shared" si="2"/>
        <v>3289185.0842730133</v>
      </c>
      <c r="BD2" s="38">
        <f t="shared" si="2"/>
        <v>3411178.8703715</v>
      </c>
      <c r="BE2" s="38">
        <f t="shared" si="2"/>
        <v>3161909.0528600002</v>
      </c>
      <c r="BF2" s="38">
        <f t="shared" si="2"/>
        <v>3239264.4931689999</v>
      </c>
      <c r="BG2" s="38">
        <f t="shared" si="2"/>
        <v>3153014.2177284998</v>
      </c>
      <c r="BH2" s="38">
        <f t="shared" si="2"/>
        <v>3477627.0292603546</v>
      </c>
      <c r="BI2" s="38">
        <f t="shared" si="2"/>
        <v>3409017.6286381655</v>
      </c>
      <c r="BJ2" s="38">
        <f t="shared" si="2"/>
        <v>3170543.2697473108</v>
      </c>
      <c r="BK2" s="38">
        <f t="shared" si="2"/>
        <v>3117879.8498947299</v>
      </c>
      <c r="BL2" s="38">
        <f t="shared" si="2"/>
        <v>3260815.984941572</v>
      </c>
      <c r="BM2" s="38">
        <f t="shared" si="2"/>
        <v>3268011.864439819</v>
      </c>
      <c r="BN2" s="38">
        <f t="shared" si="2"/>
        <v>3268366.5392730134</v>
      </c>
    </row>
    <row r="3" spans="1:68" ht="13" x14ac:dyDescent="0.3">
      <c r="A3" s="1" t="s">
        <v>0</v>
      </c>
      <c r="B3" s="1" t="s">
        <v>1</v>
      </c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</row>
    <row r="4" spans="1:68" x14ac:dyDescent="0.25">
      <c r="A4" s="2" t="s">
        <v>67</v>
      </c>
      <c r="B4" s="2" t="s">
        <v>68</v>
      </c>
      <c r="C4" s="26">
        <v>115805</v>
      </c>
      <c r="D4" s="26">
        <v>123949</v>
      </c>
      <c r="E4" s="26">
        <v>129208</v>
      </c>
      <c r="F4" s="26">
        <v>135137</v>
      </c>
      <c r="G4" s="26">
        <v>143127.5</v>
      </c>
      <c r="H4" s="3">
        <v>15865</v>
      </c>
      <c r="I4" s="3">
        <v>18240</v>
      </c>
      <c r="J4" s="3">
        <v>15200</v>
      </c>
      <c r="K4" s="3">
        <v>9000</v>
      </c>
      <c r="L4" s="3">
        <v>5000</v>
      </c>
      <c r="M4" s="3">
        <v>8300</v>
      </c>
      <c r="N4" s="3">
        <v>8800</v>
      </c>
      <c r="O4" s="3">
        <v>8800</v>
      </c>
      <c r="P4" s="3">
        <v>8800</v>
      </c>
      <c r="Q4" s="3">
        <v>8800</v>
      </c>
      <c r="R4" s="3">
        <v>9000</v>
      </c>
      <c r="S4" s="3">
        <v>11721</v>
      </c>
      <c r="T4" s="3">
        <v>11524</v>
      </c>
      <c r="U4" s="3">
        <v>9955</v>
      </c>
      <c r="V4" s="3">
        <v>11390</v>
      </c>
      <c r="W4" s="3">
        <v>10564</v>
      </c>
      <c r="X4" s="3">
        <v>9420</v>
      </c>
      <c r="Y4" s="3">
        <v>7975</v>
      </c>
      <c r="Z4" s="3">
        <v>8515</v>
      </c>
      <c r="AA4" s="3">
        <v>10132</v>
      </c>
      <c r="AB4" s="3">
        <v>11221</v>
      </c>
      <c r="AC4" s="3">
        <v>11193</v>
      </c>
      <c r="AD4" s="3">
        <v>10339</v>
      </c>
      <c r="AE4" s="3">
        <v>12108</v>
      </c>
      <c r="AF4" s="3">
        <v>11898</v>
      </c>
      <c r="AG4" s="3">
        <v>10265</v>
      </c>
      <c r="AH4" s="3">
        <v>11759</v>
      </c>
      <c r="AI4" s="3">
        <v>10992</v>
      </c>
      <c r="AJ4" s="3">
        <v>9912</v>
      </c>
      <c r="AK4" s="3">
        <v>8446</v>
      </c>
      <c r="AL4" s="3">
        <v>8991</v>
      </c>
      <c r="AM4" s="3">
        <v>10629</v>
      </c>
      <c r="AN4" s="3">
        <v>11714</v>
      </c>
      <c r="AO4" s="3">
        <v>11687</v>
      </c>
      <c r="AP4" s="3">
        <v>10807</v>
      </c>
      <c r="AQ4" s="3">
        <v>12665</v>
      </c>
      <c r="AR4" s="3">
        <v>12450</v>
      </c>
      <c r="AS4" s="3">
        <v>10731</v>
      </c>
      <c r="AT4" s="3">
        <v>12304</v>
      </c>
      <c r="AU4" s="3">
        <v>11569</v>
      </c>
      <c r="AV4" s="3">
        <v>10529</v>
      </c>
      <c r="AW4" s="3">
        <v>9058</v>
      </c>
      <c r="AX4" s="3">
        <v>9521</v>
      </c>
      <c r="AY4" s="3">
        <v>11051</v>
      </c>
      <c r="AZ4" s="3">
        <v>12074</v>
      </c>
      <c r="BA4" s="3">
        <v>12041</v>
      </c>
      <c r="BB4" s="3">
        <v>11144</v>
      </c>
      <c r="BC4" s="3">
        <v>13080</v>
      </c>
      <c r="BD4" s="3">
        <v>12857</v>
      </c>
      <c r="BE4" s="3">
        <v>11068</v>
      </c>
      <c r="BF4" s="3">
        <v>12704</v>
      </c>
      <c r="BG4" s="3">
        <v>12009</v>
      </c>
      <c r="BH4" s="3">
        <v>11247</v>
      </c>
      <c r="BI4" s="3">
        <v>10155</v>
      </c>
      <c r="BJ4" s="3">
        <v>10566</v>
      </c>
      <c r="BK4" s="3">
        <v>12320</v>
      </c>
      <c r="BL4" s="3">
        <v>13890</v>
      </c>
      <c r="BM4" s="3">
        <v>11615.75</v>
      </c>
      <c r="BN4" s="3">
        <v>11615.75</v>
      </c>
      <c r="BO4" s="8">
        <f>SUM(H4:BN4)</f>
        <v>647226.5</v>
      </c>
      <c r="BP4" s="8"/>
    </row>
    <row r="5" spans="1:68" x14ac:dyDescent="0.25">
      <c r="A5" s="2" t="s">
        <v>69</v>
      </c>
      <c r="B5" s="2" t="s">
        <v>68</v>
      </c>
      <c r="C5" s="26">
        <v>5777104.0234380001</v>
      </c>
      <c r="D5" s="26">
        <v>6478530</v>
      </c>
      <c r="E5" s="26">
        <v>7043533</v>
      </c>
      <c r="F5" s="26">
        <v>7653609</v>
      </c>
      <c r="G5" s="26">
        <v>8173129.75</v>
      </c>
      <c r="H5" s="3">
        <v>563176.734375</v>
      </c>
      <c r="I5" s="3">
        <v>676363.351563</v>
      </c>
      <c r="J5" s="3">
        <v>563719.9375</v>
      </c>
      <c r="K5" s="3">
        <v>512615</v>
      </c>
      <c r="L5" s="3">
        <v>483484</v>
      </c>
      <c r="M5" s="3">
        <v>511792</v>
      </c>
      <c r="N5" s="3">
        <v>480492</v>
      </c>
      <c r="O5" s="3">
        <v>475448</v>
      </c>
      <c r="P5" s="3">
        <v>493730</v>
      </c>
      <c r="Q5" s="3">
        <v>540517</v>
      </c>
      <c r="R5" s="3">
        <v>475766</v>
      </c>
      <c r="S5" s="3">
        <v>547931</v>
      </c>
      <c r="T5" s="3">
        <v>559087</v>
      </c>
      <c r="U5" s="3">
        <v>524750</v>
      </c>
      <c r="V5" s="3">
        <v>554431</v>
      </c>
      <c r="W5" s="3">
        <v>525662</v>
      </c>
      <c r="X5" s="3">
        <v>564556</v>
      </c>
      <c r="Y5" s="3">
        <v>549100</v>
      </c>
      <c r="Z5" s="3">
        <v>493951</v>
      </c>
      <c r="AA5" s="3">
        <v>499570</v>
      </c>
      <c r="AB5" s="3">
        <v>536652</v>
      </c>
      <c r="AC5" s="3">
        <v>603150</v>
      </c>
      <c r="AD5" s="3">
        <v>519690</v>
      </c>
      <c r="AE5" s="3">
        <v>594140</v>
      </c>
      <c r="AF5" s="3">
        <v>606784</v>
      </c>
      <c r="AG5" s="3">
        <v>570808</v>
      </c>
      <c r="AH5" s="3">
        <v>602016</v>
      </c>
      <c r="AI5" s="3">
        <v>569110</v>
      </c>
      <c r="AJ5" s="3">
        <v>612307</v>
      </c>
      <c r="AK5" s="3">
        <v>596015</v>
      </c>
      <c r="AL5" s="3">
        <v>535369</v>
      </c>
      <c r="AM5" s="3">
        <v>541992</v>
      </c>
      <c r="AN5" s="3">
        <v>585661</v>
      </c>
      <c r="AO5" s="3">
        <v>661295</v>
      </c>
      <c r="AP5" s="3">
        <v>568036</v>
      </c>
      <c r="AQ5" s="3">
        <v>648742</v>
      </c>
      <c r="AR5" s="3">
        <v>663107</v>
      </c>
      <c r="AS5" s="3">
        <v>624999</v>
      </c>
      <c r="AT5" s="3">
        <v>658341</v>
      </c>
      <c r="AU5" s="3">
        <v>620716</v>
      </c>
      <c r="AV5" s="3">
        <v>668885</v>
      </c>
      <c r="AW5" s="3">
        <v>651687</v>
      </c>
      <c r="AX5" s="3">
        <v>588125</v>
      </c>
      <c r="AY5" s="3">
        <v>585427</v>
      </c>
      <c r="AZ5" s="3">
        <v>628285</v>
      </c>
      <c r="BA5" s="3">
        <v>708352</v>
      </c>
      <c r="BB5" s="3">
        <v>606943</v>
      </c>
      <c r="BC5" s="3">
        <v>692926</v>
      </c>
      <c r="BD5" s="3">
        <v>708698</v>
      </c>
      <c r="BE5" s="3">
        <v>668755</v>
      </c>
      <c r="BF5" s="3">
        <v>703607</v>
      </c>
      <c r="BG5" s="3">
        <v>662336</v>
      </c>
      <c r="BH5" s="3">
        <v>714368</v>
      </c>
      <c r="BI5" s="3">
        <v>698262</v>
      </c>
      <c r="BJ5" s="3">
        <v>660826</v>
      </c>
      <c r="BK5" s="3">
        <v>639327</v>
      </c>
      <c r="BL5" s="3">
        <v>659980</v>
      </c>
      <c r="BM5" s="3">
        <v>682022.375</v>
      </c>
      <c r="BN5" s="3">
        <v>682022.375</v>
      </c>
      <c r="BO5" s="8">
        <f t="shared" ref="BO5:BO48" si="3">SUM(H5:BN5)</f>
        <v>35125905.773437999</v>
      </c>
      <c r="BP5" s="8"/>
    </row>
    <row r="6" spans="1:68" x14ac:dyDescent="0.25">
      <c r="A6" s="2" t="s">
        <v>70</v>
      </c>
      <c r="B6" s="2" t="s">
        <v>68</v>
      </c>
      <c r="C6" s="26">
        <v>1158714.203125</v>
      </c>
      <c r="D6" s="26">
        <v>1247784</v>
      </c>
      <c r="E6" s="26">
        <v>1287016</v>
      </c>
      <c r="F6" s="26">
        <v>1340425</v>
      </c>
      <c r="G6" s="26">
        <v>1372095</v>
      </c>
      <c r="H6" s="3">
        <v>159148</v>
      </c>
      <c r="I6" s="3">
        <v>155459</v>
      </c>
      <c r="J6" s="3">
        <v>128367</v>
      </c>
      <c r="K6" s="3">
        <v>95000</v>
      </c>
      <c r="L6" s="3">
        <v>60740</v>
      </c>
      <c r="M6" s="3">
        <v>80000</v>
      </c>
      <c r="N6" s="3">
        <v>95000</v>
      </c>
      <c r="O6" s="3">
        <v>95000</v>
      </c>
      <c r="P6" s="3">
        <v>95000</v>
      </c>
      <c r="Q6" s="3">
        <v>95000</v>
      </c>
      <c r="R6" s="3">
        <v>100000</v>
      </c>
      <c r="S6" s="3">
        <v>108680</v>
      </c>
      <c r="T6" s="3">
        <v>108509</v>
      </c>
      <c r="U6" s="3">
        <v>105148</v>
      </c>
      <c r="V6" s="3">
        <v>108298</v>
      </c>
      <c r="W6" s="3">
        <v>101096</v>
      </c>
      <c r="X6" s="3">
        <v>106931</v>
      </c>
      <c r="Y6" s="3">
        <v>102807</v>
      </c>
      <c r="Z6" s="3">
        <v>89522</v>
      </c>
      <c r="AA6" s="3">
        <v>102972</v>
      </c>
      <c r="AB6" s="3">
        <v>116923</v>
      </c>
      <c r="AC6" s="3">
        <v>105515</v>
      </c>
      <c r="AD6" s="3">
        <v>91383</v>
      </c>
      <c r="AE6" s="3">
        <v>111801</v>
      </c>
      <c r="AF6" s="3">
        <v>111595</v>
      </c>
      <c r="AG6" s="3">
        <v>108097</v>
      </c>
      <c r="AH6" s="3">
        <v>111224</v>
      </c>
      <c r="AI6" s="3">
        <v>103927</v>
      </c>
      <c r="AJ6" s="3">
        <v>110058</v>
      </c>
      <c r="AK6" s="3">
        <v>105845</v>
      </c>
      <c r="AL6" s="3">
        <v>92075</v>
      </c>
      <c r="AM6" s="3">
        <v>106215</v>
      </c>
      <c r="AN6" s="3">
        <v>121018</v>
      </c>
      <c r="AO6" s="3">
        <v>109939</v>
      </c>
      <c r="AP6" s="3">
        <v>95222</v>
      </c>
      <c r="AQ6" s="3">
        <v>116566</v>
      </c>
      <c r="AR6" s="3">
        <v>116333</v>
      </c>
      <c r="AS6" s="3">
        <v>112657</v>
      </c>
      <c r="AT6" s="3">
        <v>115835</v>
      </c>
      <c r="AU6" s="3">
        <v>108309</v>
      </c>
      <c r="AV6" s="3">
        <v>114793</v>
      </c>
      <c r="AW6" s="3">
        <v>110416</v>
      </c>
      <c r="AX6" s="3">
        <v>96042</v>
      </c>
      <c r="AY6" s="3">
        <v>110495</v>
      </c>
      <c r="AZ6" s="3">
        <v>125741</v>
      </c>
      <c r="BA6" s="3">
        <v>114320</v>
      </c>
      <c r="BB6" s="3">
        <v>98918</v>
      </c>
      <c r="BC6" s="3">
        <v>121156</v>
      </c>
      <c r="BD6" s="3">
        <v>120888</v>
      </c>
      <c r="BE6" s="3">
        <v>117018</v>
      </c>
      <c r="BF6" s="3">
        <v>120215</v>
      </c>
      <c r="BG6" s="3">
        <v>112512</v>
      </c>
      <c r="BH6" s="3">
        <v>119373</v>
      </c>
      <c r="BI6" s="3">
        <v>114863</v>
      </c>
      <c r="BJ6" s="3">
        <v>99895</v>
      </c>
      <c r="BK6" s="3">
        <v>103796</v>
      </c>
      <c r="BL6" s="3">
        <v>115239</v>
      </c>
      <c r="BM6" s="3">
        <v>113570</v>
      </c>
      <c r="BN6" s="3">
        <v>113570</v>
      </c>
      <c r="BO6" s="8">
        <f t="shared" si="3"/>
        <v>6406034</v>
      </c>
      <c r="BP6" s="8"/>
    </row>
    <row r="7" spans="1:68" x14ac:dyDescent="0.25">
      <c r="A7" s="2" t="s">
        <v>71</v>
      </c>
      <c r="B7" s="2" t="s">
        <v>68</v>
      </c>
      <c r="C7" s="26">
        <v>20.018070999999999</v>
      </c>
      <c r="D7" s="26">
        <v>0</v>
      </c>
      <c r="E7" s="26">
        <v>0</v>
      </c>
      <c r="F7" s="26">
        <v>0</v>
      </c>
      <c r="G7" s="26">
        <v>0</v>
      </c>
      <c r="H7" s="3">
        <v>3.340271</v>
      </c>
      <c r="I7" s="3">
        <v>5.3099540000000003</v>
      </c>
      <c r="J7" s="3">
        <v>11.367846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8">
        <f t="shared" si="3"/>
        <v>20.018070999999999</v>
      </c>
      <c r="BP7" s="8"/>
    </row>
    <row r="8" spans="1:68" x14ac:dyDescent="0.25">
      <c r="A8" s="2" t="s">
        <v>72</v>
      </c>
      <c r="B8" s="2" t="s">
        <v>68</v>
      </c>
      <c r="C8" s="26">
        <v>3765</v>
      </c>
      <c r="D8" s="26">
        <v>5435</v>
      </c>
      <c r="E8" s="26">
        <v>5879</v>
      </c>
      <c r="F8" s="26">
        <v>6551</v>
      </c>
      <c r="G8" s="26">
        <v>7992.25</v>
      </c>
      <c r="H8" s="3">
        <v>550</v>
      </c>
      <c r="I8" s="3">
        <v>720</v>
      </c>
      <c r="J8" s="3">
        <v>600</v>
      </c>
      <c r="K8" s="3">
        <v>250</v>
      </c>
      <c r="L8" s="3">
        <v>150</v>
      </c>
      <c r="M8" s="3">
        <v>245</v>
      </c>
      <c r="N8" s="3">
        <v>250</v>
      </c>
      <c r="O8" s="3">
        <v>250</v>
      </c>
      <c r="P8" s="3">
        <v>250</v>
      </c>
      <c r="Q8" s="3">
        <v>250</v>
      </c>
      <c r="R8" s="3">
        <v>250</v>
      </c>
      <c r="S8" s="3">
        <v>459</v>
      </c>
      <c r="T8" s="3">
        <v>499</v>
      </c>
      <c r="U8" s="3">
        <v>440</v>
      </c>
      <c r="V8" s="3">
        <v>777</v>
      </c>
      <c r="W8" s="3">
        <v>771</v>
      </c>
      <c r="X8" s="3">
        <v>792</v>
      </c>
      <c r="Y8" s="3">
        <v>288</v>
      </c>
      <c r="Z8" s="3">
        <v>271</v>
      </c>
      <c r="AA8" s="3">
        <v>278</v>
      </c>
      <c r="AB8" s="3">
        <v>284</v>
      </c>
      <c r="AC8" s="3">
        <v>292</v>
      </c>
      <c r="AD8" s="3">
        <v>284</v>
      </c>
      <c r="AE8" s="3">
        <v>473</v>
      </c>
      <c r="AF8" s="3">
        <v>512</v>
      </c>
      <c r="AG8" s="3">
        <v>450</v>
      </c>
      <c r="AH8" s="3">
        <v>872</v>
      </c>
      <c r="AI8" s="3">
        <v>875</v>
      </c>
      <c r="AJ8" s="3">
        <v>900</v>
      </c>
      <c r="AK8" s="3">
        <v>308</v>
      </c>
      <c r="AL8" s="3">
        <v>285</v>
      </c>
      <c r="AM8" s="3">
        <v>293</v>
      </c>
      <c r="AN8" s="3">
        <v>300</v>
      </c>
      <c r="AO8" s="3">
        <v>308</v>
      </c>
      <c r="AP8" s="3">
        <v>303</v>
      </c>
      <c r="AQ8" s="3">
        <v>570</v>
      </c>
      <c r="AR8" s="3">
        <v>636</v>
      </c>
      <c r="AS8" s="3">
        <v>560</v>
      </c>
      <c r="AT8" s="3">
        <v>950</v>
      </c>
      <c r="AU8" s="3">
        <v>941</v>
      </c>
      <c r="AV8" s="3">
        <v>969</v>
      </c>
      <c r="AW8" s="3">
        <v>328</v>
      </c>
      <c r="AX8" s="3">
        <v>307</v>
      </c>
      <c r="AY8" s="3">
        <v>315</v>
      </c>
      <c r="AZ8" s="3">
        <v>321</v>
      </c>
      <c r="BA8" s="3">
        <v>331</v>
      </c>
      <c r="BB8" s="3">
        <v>323</v>
      </c>
      <c r="BC8" s="3">
        <v>651</v>
      </c>
      <c r="BD8" s="3">
        <v>737</v>
      </c>
      <c r="BE8" s="3">
        <v>647</v>
      </c>
      <c r="BF8" s="3">
        <v>1065</v>
      </c>
      <c r="BG8" s="3">
        <v>1054</v>
      </c>
      <c r="BH8" s="3">
        <v>1086</v>
      </c>
      <c r="BI8" s="3">
        <v>347</v>
      </c>
      <c r="BJ8" s="3">
        <v>295</v>
      </c>
      <c r="BK8" s="3">
        <v>286</v>
      </c>
      <c r="BL8" s="3">
        <v>445</v>
      </c>
      <c r="BM8" s="3">
        <v>689.625</v>
      </c>
      <c r="BN8" s="3">
        <v>689.625</v>
      </c>
      <c r="BO8" s="8">
        <f t="shared" si="3"/>
        <v>29622.25</v>
      </c>
      <c r="BP8" s="8"/>
    </row>
    <row r="9" spans="1:68" x14ac:dyDescent="0.25">
      <c r="A9" s="2" t="s">
        <v>73</v>
      </c>
      <c r="B9" s="2" t="s">
        <v>68</v>
      </c>
      <c r="C9" s="26">
        <v>11101.771119000001</v>
      </c>
      <c r="D9" s="26">
        <v>13562</v>
      </c>
      <c r="E9" s="26">
        <v>14178</v>
      </c>
      <c r="F9" s="26">
        <v>14871</v>
      </c>
      <c r="G9" s="26">
        <v>15649.75</v>
      </c>
      <c r="H9" s="3">
        <v>1352.0988769999999</v>
      </c>
      <c r="I9" s="3">
        <v>1666.8413089999999</v>
      </c>
      <c r="J9" s="3">
        <v>1382.830933</v>
      </c>
      <c r="K9" s="3">
        <v>900</v>
      </c>
      <c r="L9" s="3">
        <v>500</v>
      </c>
      <c r="M9" s="3">
        <v>800</v>
      </c>
      <c r="N9" s="3">
        <v>900</v>
      </c>
      <c r="O9" s="3">
        <v>900</v>
      </c>
      <c r="P9" s="3">
        <v>900</v>
      </c>
      <c r="Q9" s="3">
        <v>900</v>
      </c>
      <c r="R9" s="3">
        <v>900</v>
      </c>
      <c r="S9" s="3">
        <v>1241</v>
      </c>
      <c r="T9" s="3">
        <v>1116</v>
      </c>
      <c r="U9" s="3">
        <v>1121</v>
      </c>
      <c r="V9" s="3">
        <v>1177</v>
      </c>
      <c r="W9" s="3">
        <v>1105</v>
      </c>
      <c r="X9" s="3">
        <v>1120</v>
      </c>
      <c r="Y9" s="3">
        <v>1154</v>
      </c>
      <c r="Z9" s="3">
        <v>1057</v>
      </c>
      <c r="AA9" s="3">
        <v>1077</v>
      </c>
      <c r="AB9" s="3">
        <v>1101</v>
      </c>
      <c r="AC9" s="3">
        <v>1226</v>
      </c>
      <c r="AD9" s="3">
        <v>1067</v>
      </c>
      <c r="AE9" s="3">
        <v>1298</v>
      </c>
      <c r="AF9" s="3">
        <v>1169</v>
      </c>
      <c r="AG9" s="3">
        <v>1171</v>
      </c>
      <c r="AH9" s="3">
        <v>1231</v>
      </c>
      <c r="AI9" s="3">
        <v>1155</v>
      </c>
      <c r="AJ9" s="3">
        <v>1173</v>
      </c>
      <c r="AK9" s="3">
        <v>1206</v>
      </c>
      <c r="AL9" s="3">
        <v>1105</v>
      </c>
      <c r="AM9" s="3">
        <v>1126</v>
      </c>
      <c r="AN9" s="3">
        <v>1151</v>
      </c>
      <c r="AO9" s="3">
        <v>1280</v>
      </c>
      <c r="AP9" s="3">
        <v>1113</v>
      </c>
      <c r="AQ9" s="3">
        <v>1357</v>
      </c>
      <c r="AR9" s="3">
        <v>1221</v>
      </c>
      <c r="AS9" s="3">
        <v>1223</v>
      </c>
      <c r="AT9" s="3">
        <v>1285</v>
      </c>
      <c r="AU9" s="3">
        <v>1207</v>
      </c>
      <c r="AV9" s="3">
        <v>1226</v>
      </c>
      <c r="AW9" s="3">
        <v>1264</v>
      </c>
      <c r="AX9" s="3">
        <v>1163</v>
      </c>
      <c r="AY9" s="3">
        <v>1185</v>
      </c>
      <c r="AZ9" s="3">
        <v>1212</v>
      </c>
      <c r="BA9" s="3">
        <v>1351</v>
      </c>
      <c r="BB9" s="3">
        <v>1177</v>
      </c>
      <c r="BC9" s="3">
        <v>1429</v>
      </c>
      <c r="BD9" s="3">
        <v>1290</v>
      </c>
      <c r="BE9" s="3">
        <v>1289</v>
      </c>
      <c r="BF9" s="3">
        <v>1355</v>
      </c>
      <c r="BG9" s="3">
        <v>1275</v>
      </c>
      <c r="BH9" s="3">
        <v>1296</v>
      </c>
      <c r="BI9" s="3">
        <v>1345</v>
      </c>
      <c r="BJ9" s="3">
        <v>1221</v>
      </c>
      <c r="BK9" s="3">
        <v>1236</v>
      </c>
      <c r="BL9" s="3">
        <v>1337</v>
      </c>
      <c r="BM9" s="3">
        <v>1288.375</v>
      </c>
      <c r="BN9" s="3">
        <v>1288.375</v>
      </c>
      <c r="BO9" s="8">
        <f t="shared" si="3"/>
        <v>69362.521118999997</v>
      </c>
      <c r="BP9" s="8"/>
    </row>
    <row r="10" spans="1:68" x14ac:dyDescent="0.25">
      <c r="A10" s="2" t="s">
        <v>74</v>
      </c>
      <c r="B10" s="2" t="s">
        <v>68</v>
      </c>
      <c r="C10" s="26">
        <v>28948.020080000002</v>
      </c>
      <c r="D10" s="26">
        <v>1133</v>
      </c>
      <c r="E10" s="26">
        <v>1222</v>
      </c>
      <c r="F10" s="26">
        <v>1315</v>
      </c>
      <c r="G10" s="26">
        <v>11279.5</v>
      </c>
      <c r="H10" s="3">
        <v>876.79425000000003</v>
      </c>
      <c r="I10" s="3">
        <v>1271.276001</v>
      </c>
      <c r="J10" s="3">
        <v>1112.9498289999999</v>
      </c>
      <c r="K10" s="3">
        <v>4000</v>
      </c>
      <c r="L10" s="3">
        <v>4176</v>
      </c>
      <c r="M10" s="3">
        <v>3757</v>
      </c>
      <c r="N10" s="3">
        <v>4000</v>
      </c>
      <c r="O10" s="3">
        <v>4000</v>
      </c>
      <c r="P10" s="3">
        <v>4000</v>
      </c>
      <c r="Q10" s="3">
        <v>1500</v>
      </c>
      <c r="R10" s="3">
        <v>254</v>
      </c>
      <c r="S10" s="3">
        <v>103</v>
      </c>
      <c r="T10" s="3">
        <v>99</v>
      </c>
      <c r="U10" s="3">
        <v>91</v>
      </c>
      <c r="V10" s="3">
        <v>92</v>
      </c>
      <c r="W10" s="3">
        <v>93</v>
      </c>
      <c r="X10" s="3">
        <v>102</v>
      </c>
      <c r="Y10" s="3">
        <v>94</v>
      </c>
      <c r="Z10" s="3">
        <v>83</v>
      </c>
      <c r="AA10" s="3">
        <v>89</v>
      </c>
      <c r="AB10" s="3">
        <v>102</v>
      </c>
      <c r="AC10" s="3">
        <v>99</v>
      </c>
      <c r="AD10" s="3">
        <v>86</v>
      </c>
      <c r="AE10" s="3">
        <v>110</v>
      </c>
      <c r="AF10" s="3">
        <v>107</v>
      </c>
      <c r="AG10" s="3">
        <v>99</v>
      </c>
      <c r="AH10" s="3">
        <v>99</v>
      </c>
      <c r="AI10" s="3">
        <v>100</v>
      </c>
      <c r="AJ10" s="3">
        <v>111</v>
      </c>
      <c r="AK10" s="3">
        <v>101</v>
      </c>
      <c r="AL10" s="3">
        <v>90</v>
      </c>
      <c r="AM10" s="3">
        <v>96</v>
      </c>
      <c r="AN10" s="3">
        <v>111</v>
      </c>
      <c r="AO10" s="3">
        <v>105</v>
      </c>
      <c r="AP10" s="3">
        <v>93</v>
      </c>
      <c r="AQ10" s="3">
        <v>118</v>
      </c>
      <c r="AR10" s="3">
        <v>116</v>
      </c>
      <c r="AS10" s="3">
        <v>106</v>
      </c>
      <c r="AT10" s="3">
        <v>107</v>
      </c>
      <c r="AU10" s="3">
        <v>107</v>
      </c>
      <c r="AV10" s="3">
        <v>119</v>
      </c>
      <c r="AW10" s="3">
        <v>109</v>
      </c>
      <c r="AX10" s="3">
        <v>96</v>
      </c>
      <c r="AY10" s="3">
        <v>104</v>
      </c>
      <c r="AZ10" s="3">
        <v>119</v>
      </c>
      <c r="BA10" s="3">
        <v>114</v>
      </c>
      <c r="BB10" s="3">
        <v>100</v>
      </c>
      <c r="BC10" s="3">
        <v>128</v>
      </c>
      <c r="BD10" s="3">
        <v>124</v>
      </c>
      <c r="BE10" s="3">
        <v>115</v>
      </c>
      <c r="BF10" s="3">
        <v>115</v>
      </c>
      <c r="BG10" s="3">
        <v>116</v>
      </c>
      <c r="BH10" s="3">
        <v>128</v>
      </c>
      <c r="BI10" s="3">
        <v>119</v>
      </c>
      <c r="BJ10" s="3">
        <v>824</v>
      </c>
      <c r="BK10" s="3">
        <v>2997</v>
      </c>
      <c r="BL10" s="3">
        <v>5479</v>
      </c>
      <c r="BM10" s="3">
        <v>567.25</v>
      </c>
      <c r="BN10" s="3">
        <v>567.25</v>
      </c>
      <c r="BO10" s="8">
        <f t="shared" si="3"/>
        <v>43897.520080000002</v>
      </c>
      <c r="BP10" s="8"/>
    </row>
    <row r="11" spans="1:68" x14ac:dyDescent="0.25">
      <c r="A11" s="2" t="s">
        <v>75</v>
      </c>
      <c r="B11" s="2" t="s">
        <v>68</v>
      </c>
      <c r="C11" s="26">
        <v>3875.2001949999999</v>
      </c>
      <c r="D11" s="26">
        <v>0</v>
      </c>
      <c r="E11" s="26">
        <v>0</v>
      </c>
      <c r="F11" s="26">
        <v>0</v>
      </c>
      <c r="G11" s="26">
        <v>926</v>
      </c>
      <c r="H11" s="3">
        <v>154.09991500000001</v>
      </c>
      <c r="I11" s="3">
        <v>401.95379600000001</v>
      </c>
      <c r="J11" s="3">
        <v>325.14648399999999</v>
      </c>
      <c r="K11" s="3">
        <v>400</v>
      </c>
      <c r="L11" s="3">
        <v>507</v>
      </c>
      <c r="M11" s="3">
        <v>493</v>
      </c>
      <c r="N11" s="3">
        <v>450</v>
      </c>
      <c r="O11" s="3">
        <v>400</v>
      </c>
      <c r="P11" s="3">
        <v>442</v>
      </c>
      <c r="Q11" s="3">
        <v>302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86</v>
      </c>
      <c r="BK11" s="3">
        <v>305</v>
      </c>
      <c r="BL11" s="3">
        <v>535</v>
      </c>
      <c r="BM11" s="3"/>
      <c r="BN11" s="3"/>
      <c r="BO11" s="8">
        <f t="shared" si="3"/>
        <v>4801.2001949999994</v>
      </c>
      <c r="BP11" s="8"/>
    </row>
    <row r="12" spans="1:68" x14ac:dyDescent="0.25">
      <c r="A12" s="2" t="s">
        <v>76</v>
      </c>
      <c r="B12" s="2" t="s">
        <v>68</v>
      </c>
      <c r="C12" s="26">
        <v>29805</v>
      </c>
      <c r="D12" s="26">
        <v>36155</v>
      </c>
      <c r="E12" s="26">
        <v>36155</v>
      </c>
      <c r="F12" s="26">
        <v>18120</v>
      </c>
      <c r="G12" s="26">
        <v>0</v>
      </c>
      <c r="H12" s="3">
        <v>2005</v>
      </c>
      <c r="I12" s="3">
        <v>1700</v>
      </c>
      <c r="J12" s="3">
        <v>2100</v>
      </c>
      <c r="K12" s="3">
        <v>3200</v>
      </c>
      <c r="L12" s="3">
        <v>2200</v>
      </c>
      <c r="M12" s="3">
        <v>3200</v>
      </c>
      <c r="N12" s="3">
        <v>3200</v>
      </c>
      <c r="O12" s="3">
        <v>2800</v>
      </c>
      <c r="P12" s="3">
        <v>3150</v>
      </c>
      <c r="Q12" s="3">
        <v>3050</v>
      </c>
      <c r="R12" s="3">
        <v>3200</v>
      </c>
      <c r="S12" s="3">
        <v>2985</v>
      </c>
      <c r="T12" s="3">
        <v>2950</v>
      </c>
      <c r="U12" s="3">
        <v>3000</v>
      </c>
      <c r="V12" s="3">
        <v>2950</v>
      </c>
      <c r="W12" s="3">
        <v>2850</v>
      </c>
      <c r="X12" s="3">
        <v>3385</v>
      </c>
      <c r="Y12" s="3">
        <v>2750</v>
      </c>
      <c r="Z12" s="3">
        <v>2535</v>
      </c>
      <c r="AA12" s="3">
        <v>3350</v>
      </c>
      <c r="AB12" s="3">
        <v>3150</v>
      </c>
      <c r="AC12" s="3">
        <v>3050</v>
      </c>
      <c r="AD12" s="3">
        <v>3200</v>
      </c>
      <c r="AE12" s="3">
        <v>2985</v>
      </c>
      <c r="AF12" s="3">
        <v>2950</v>
      </c>
      <c r="AG12" s="3">
        <v>3000</v>
      </c>
      <c r="AH12" s="3">
        <v>2950</v>
      </c>
      <c r="AI12" s="3">
        <v>2850</v>
      </c>
      <c r="AJ12" s="3">
        <v>3385</v>
      </c>
      <c r="AK12" s="3">
        <v>2750</v>
      </c>
      <c r="AL12" s="3">
        <v>2535</v>
      </c>
      <c r="AM12" s="3">
        <v>3350</v>
      </c>
      <c r="AN12" s="3">
        <v>3150</v>
      </c>
      <c r="AO12" s="3">
        <v>3050</v>
      </c>
      <c r="AP12" s="3">
        <v>3200</v>
      </c>
      <c r="AQ12" s="3">
        <v>2985</v>
      </c>
      <c r="AR12" s="3">
        <v>2950</v>
      </c>
      <c r="AS12" s="3">
        <v>3000</v>
      </c>
      <c r="AT12" s="3">
        <v>2950</v>
      </c>
      <c r="AU12" s="3">
        <v>2850</v>
      </c>
      <c r="AV12" s="3">
        <v>3385</v>
      </c>
      <c r="AW12" s="3">
        <v>2832.5</v>
      </c>
      <c r="AX12" s="3">
        <v>2611.0500000000002</v>
      </c>
      <c r="AY12" s="3">
        <v>3450.5</v>
      </c>
      <c r="AZ12" s="3">
        <v>3244.5</v>
      </c>
      <c r="BA12" s="3">
        <v>3141.5</v>
      </c>
      <c r="BB12" s="3">
        <v>3296</v>
      </c>
      <c r="BC12" s="3">
        <v>3074.55</v>
      </c>
      <c r="BD12" s="3">
        <v>3038.5</v>
      </c>
      <c r="BE12" s="3">
        <v>3090</v>
      </c>
      <c r="BF12" s="3">
        <v>3038.5</v>
      </c>
      <c r="BG12" s="3">
        <v>2935.5</v>
      </c>
      <c r="BH12" s="3">
        <v>3486.55</v>
      </c>
      <c r="BI12" s="3">
        <v>2917.4749999999999</v>
      </c>
      <c r="BJ12" s="3">
        <v>2689.3815000000004</v>
      </c>
      <c r="BK12" s="3">
        <v>3554.0149999999999</v>
      </c>
      <c r="BL12" s="3">
        <v>3341.835</v>
      </c>
      <c r="BM12" s="3">
        <v>3235.7449999999999</v>
      </c>
      <c r="BN12" s="3">
        <v>3394.88</v>
      </c>
      <c r="BO12" s="8">
        <f t="shared" si="3"/>
        <v>176607.98149999997</v>
      </c>
      <c r="BP12" s="8"/>
    </row>
    <row r="13" spans="1:68" x14ac:dyDescent="0.25">
      <c r="A13" s="2" t="s">
        <v>77</v>
      </c>
      <c r="B13" s="2" t="s">
        <v>68</v>
      </c>
      <c r="C13" s="26">
        <v>604836</v>
      </c>
      <c r="D13" s="26">
        <v>604358</v>
      </c>
      <c r="E13" s="26">
        <v>642493</v>
      </c>
      <c r="F13" s="26">
        <v>733127</v>
      </c>
      <c r="G13" s="26">
        <v>791675.25</v>
      </c>
      <c r="H13" s="3">
        <v>76000</v>
      </c>
      <c r="I13" s="3">
        <v>97400</v>
      </c>
      <c r="J13" s="3">
        <v>48000</v>
      </c>
      <c r="K13" s="3">
        <v>55000</v>
      </c>
      <c r="L13" s="3">
        <v>30000</v>
      </c>
      <c r="M13" s="3">
        <v>50000</v>
      </c>
      <c r="N13" s="3">
        <v>50000</v>
      </c>
      <c r="O13" s="3">
        <v>48000</v>
      </c>
      <c r="P13" s="3">
        <v>48000</v>
      </c>
      <c r="Q13" s="3">
        <v>52878</v>
      </c>
      <c r="R13" s="3">
        <v>49558</v>
      </c>
      <c r="S13" s="3">
        <v>54451</v>
      </c>
      <c r="T13" s="3">
        <v>53967</v>
      </c>
      <c r="U13" s="3">
        <v>46098</v>
      </c>
      <c r="V13" s="3">
        <v>46587</v>
      </c>
      <c r="W13" s="3">
        <v>47626</v>
      </c>
      <c r="X13" s="3">
        <v>55789</v>
      </c>
      <c r="Y13" s="3">
        <v>54512</v>
      </c>
      <c r="Z13" s="3">
        <v>48432</v>
      </c>
      <c r="AA13" s="3">
        <v>44859</v>
      </c>
      <c r="AB13" s="3">
        <v>46681</v>
      </c>
      <c r="AC13" s="3">
        <v>54375</v>
      </c>
      <c r="AD13" s="3">
        <v>50981</v>
      </c>
      <c r="AE13" s="3">
        <v>55989</v>
      </c>
      <c r="AF13" s="3">
        <v>55484</v>
      </c>
      <c r="AG13" s="3">
        <v>47370</v>
      </c>
      <c r="AH13" s="3">
        <v>47842</v>
      </c>
      <c r="AI13" s="3">
        <v>48436</v>
      </c>
      <c r="AJ13" s="3">
        <v>55595</v>
      </c>
      <c r="AK13" s="3">
        <v>54481</v>
      </c>
      <c r="AL13" s="3">
        <v>50631</v>
      </c>
      <c r="AM13" s="3">
        <v>50121</v>
      </c>
      <c r="AN13" s="3">
        <v>53908</v>
      </c>
      <c r="AO13" s="3">
        <v>63298</v>
      </c>
      <c r="AP13" s="3">
        <v>59338</v>
      </c>
      <c r="AQ13" s="3">
        <v>65056</v>
      </c>
      <c r="AR13" s="3">
        <v>64540</v>
      </c>
      <c r="AS13" s="3">
        <v>55057</v>
      </c>
      <c r="AT13" s="3">
        <v>55360</v>
      </c>
      <c r="AU13" s="3">
        <v>56114</v>
      </c>
      <c r="AV13" s="3">
        <v>64641</v>
      </c>
      <c r="AW13" s="3">
        <v>63573</v>
      </c>
      <c r="AX13" s="3">
        <v>58381</v>
      </c>
      <c r="AY13" s="3">
        <v>55954</v>
      </c>
      <c r="AZ13" s="3">
        <v>59317</v>
      </c>
      <c r="BA13" s="3">
        <v>69748</v>
      </c>
      <c r="BB13" s="3">
        <v>65386</v>
      </c>
      <c r="BC13" s="3">
        <v>71647</v>
      </c>
      <c r="BD13" s="3">
        <v>71096</v>
      </c>
      <c r="BE13" s="3">
        <v>60616</v>
      </c>
      <c r="BF13" s="3">
        <v>60838</v>
      </c>
      <c r="BG13" s="3">
        <v>61704</v>
      </c>
      <c r="BH13" s="3">
        <v>71006</v>
      </c>
      <c r="BI13" s="3">
        <v>71662</v>
      </c>
      <c r="BJ13" s="3">
        <v>67328</v>
      </c>
      <c r="BK13" s="3">
        <v>61799</v>
      </c>
      <c r="BL13" s="3">
        <v>62467</v>
      </c>
      <c r="BM13" s="3">
        <v>65756.125</v>
      </c>
      <c r="BN13" s="3">
        <v>65756.125</v>
      </c>
      <c r="BO13" s="8">
        <f t="shared" si="3"/>
        <v>3376489.25</v>
      </c>
      <c r="BP13" s="8"/>
    </row>
    <row r="14" spans="1:68" x14ac:dyDescent="0.25">
      <c r="A14" s="2" t="s">
        <v>78</v>
      </c>
      <c r="B14" s="2" t="s">
        <v>68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8">
        <f t="shared" si="3"/>
        <v>0</v>
      </c>
      <c r="BP14" s="8"/>
    </row>
    <row r="15" spans="1:68" x14ac:dyDescent="0.25">
      <c r="A15" s="2" t="s">
        <v>79</v>
      </c>
      <c r="B15" s="2" t="s">
        <v>68</v>
      </c>
      <c r="C15" s="26">
        <v>2306.2685320000001</v>
      </c>
      <c r="D15" s="26">
        <v>5488</v>
      </c>
      <c r="E15" s="26">
        <v>5906</v>
      </c>
      <c r="F15" s="26">
        <v>6341</v>
      </c>
      <c r="G15" s="26">
        <v>6772.25</v>
      </c>
      <c r="H15" s="3">
        <v>182.23646500000001</v>
      </c>
      <c r="I15" s="3">
        <v>79.16198</v>
      </c>
      <c r="J15" s="3">
        <v>200.87008700000001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444</v>
      </c>
      <c r="S15" s="3">
        <v>516</v>
      </c>
      <c r="T15" s="3">
        <v>432</v>
      </c>
      <c r="U15" s="3">
        <v>420</v>
      </c>
      <c r="V15" s="3">
        <v>504</v>
      </c>
      <c r="W15" s="3">
        <v>461</v>
      </c>
      <c r="X15" s="3">
        <v>441</v>
      </c>
      <c r="Y15" s="3">
        <v>443</v>
      </c>
      <c r="Z15" s="3">
        <v>453</v>
      </c>
      <c r="AA15" s="3">
        <v>445</v>
      </c>
      <c r="AB15" s="3">
        <v>441</v>
      </c>
      <c r="AC15" s="3">
        <v>455</v>
      </c>
      <c r="AD15" s="3">
        <v>477</v>
      </c>
      <c r="AE15" s="3">
        <v>557</v>
      </c>
      <c r="AF15" s="3">
        <v>464</v>
      </c>
      <c r="AG15" s="3">
        <v>451</v>
      </c>
      <c r="AH15" s="3">
        <v>544</v>
      </c>
      <c r="AI15" s="3">
        <v>495</v>
      </c>
      <c r="AJ15" s="3">
        <v>477</v>
      </c>
      <c r="AK15" s="3">
        <v>478</v>
      </c>
      <c r="AL15" s="3">
        <v>488</v>
      </c>
      <c r="AM15" s="3">
        <v>480</v>
      </c>
      <c r="AN15" s="3">
        <v>473</v>
      </c>
      <c r="AO15" s="3">
        <v>488</v>
      </c>
      <c r="AP15" s="3">
        <v>511</v>
      </c>
      <c r="AQ15" s="3">
        <v>598</v>
      </c>
      <c r="AR15" s="3">
        <v>498</v>
      </c>
      <c r="AS15" s="3">
        <v>485</v>
      </c>
      <c r="AT15" s="3">
        <v>583</v>
      </c>
      <c r="AU15" s="3">
        <v>531</v>
      </c>
      <c r="AV15" s="3">
        <v>509</v>
      </c>
      <c r="AW15" s="3">
        <v>513</v>
      </c>
      <c r="AX15" s="3">
        <v>524</v>
      </c>
      <c r="AY15" s="3">
        <v>514</v>
      </c>
      <c r="AZ15" s="3">
        <v>509</v>
      </c>
      <c r="BA15" s="3">
        <v>526</v>
      </c>
      <c r="BB15" s="3">
        <v>551</v>
      </c>
      <c r="BC15" s="3">
        <v>642</v>
      </c>
      <c r="BD15" s="3">
        <v>538</v>
      </c>
      <c r="BE15" s="3">
        <v>522</v>
      </c>
      <c r="BF15" s="3">
        <v>628</v>
      </c>
      <c r="BG15" s="3">
        <v>573</v>
      </c>
      <c r="BH15" s="3">
        <v>549</v>
      </c>
      <c r="BI15" s="3">
        <v>552</v>
      </c>
      <c r="BJ15" s="3">
        <v>563</v>
      </c>
      <c r="BK15" s="3">
        <v>548</v>
      </c>
      <c r="BL15" s="3">
        <v>539</v>
      </c>
      <c r="BM15" s="3">
        <v>559.125</v>
      </c>
      <c r="BN15" s="3">
        <v>559.125</v>
      </c>
      <c r="BO15" s="8">
        <f t="shared" si="3"/>
        <v>26813.518532000002</v>
      </c>
      <c r="BP15" s="8"/>
    </row>
    <row r="16" spans="1:68" x14ac:dyDescent="0.25">
      <c r="A16" s="2" t="s">
        <v>80</v>
      </c>
      <c r="B16" s="2" t="s">
        <v>68</v>
      </c>
      <c r="C16" s="26">
        <v>1752</v>
      </c>
      <c r="D16" s="26">
        <v>0</v>
      </c>
      <c r="E16" s="26">
        <v>0</v>
      </c>
      <c r="F16" s="26">
        <v>0</v>
      </c>
      <c r="G16" s="26">
        <v>320</v>
      </c>
      <c r="H16" s="3">
        <v>458</v>
      </c>
      <c r="I16" s="3">
        <v>494</v>
      </c>
      <c r="J16" s="3">
        <v>400</v>
      </c>
      <c r="K16" s="3">
        <v>400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>
        <v>94</v>
      </c>
      <c r="BL16" s="3">
        <v>226</v>
      </c>
      <c r="BM16" s="3"/>
      <c r="BN16" s="3"/>
      <c r="BO16" s="8">
        <f t="shared" si="3"/>
        <v>2072</v>
      </c>
      <c r="BP16" s="8"/>
    </row>
    <row r="17" spans="1:68" x14ac:dyDescent="0.25">
      <c r="A17" s="2" t="s">
        <v>81</v>
      </c>
      <c r="B17" s="2" t="s">
        <v>68</v>
      </c>
      <c r="C17" s="26">
        <v>7064892.125</v>
      </c>
      <c r="D17" s="26">
        <v>7762066</v>
      </c>
      <c r="E17" s="26">
        <v>8284703</v>
      </c>
      <c r="F17" s="26">
        <v>8792806</v>
      </c>
      <c r="G17" s="26">
        <v>9247260</v>
      </c>
      <c r="H17" s="3">
        <v>694365.125</v>
      </c>
      <c r="I17" s="3">
        <v>824439.75</v>
      </c>
      <c r="J17" s="3">
        <v>685154.25</v>
      </c>
      <c r="K17" s="3">
        <v>652395</v>
      </c>
      <c r="L17" s="3">
        <v>400000</v>
      </c>
      <c r="M17" s="3">
        <v>650268</v>
      </c>
      <c r="N17" s="3">
        <v>632412</v>
      </c>
      <c r="O17" s="3">
        <v>643687</v>
      </c>
      <c r="P17" s="3">
        <v>639404</v>
      </c>
      <c r="Q17" s="3">
        <v>625246</v>
      </c>
      <c r="R17" s="3">
        <v>617521</v>
      </c>
      <c r="S17" s="3">
        <v>672459</v>
      </c>
      <c r="T17" s="3">
        <v>677531</v>
      </c>
      <c r="U17" s="3">
        <v>627555</v>
      </c>
      <c r="V17" s="3">
        <v>630297</v>
      </c>
      <c r="W17" s="3">
        <v>626398</v>
      </c>
      <c r="X17" s="3">
        <v>698606</v>
      </c>
      <c r="Y17" s="3">
        <v>677121</v>
      </c>
      <c r="Z17" s="3">
        <v>601675</v>
      </c>
      <c r="AA17" s="3">
        <v>632136</v>
      </c>
      <c r="AB17" s="3">
        <v>667494</v>
      </c>
      <c r="AC17" s="3">
        <v>671189</v>
      </c>
      <c r="AD17" s="3">
        <v>579605</v>
      </c>
      <c r="AE17" s="3">
        <v>718100</v>
      </c>
      <c r="AF17" s="3">
        <v>724015</v>
      </c>
      <c r="AG17" s="3">
        <v>670852</v>
      </c>
      <c r="AH17" s="3">
        <v>671867</v>
      </c>
      <c r="AI17" s="3">
        <v>668727</v>
      </c>
      <c r="AJ17" s="3">
        <v>744642</v>
      </c>
      <c r="AK17" s="3">
        <v>721918</v>
      </c>
      <c r="AL17" s="3">
        <v>644990</v>
      </c>
      <c r="AM17" s="3">
        <v>673843</v>
      </c>
      <c r="AN17" s="3">
        <v>708550</v>
      </c>
      <c r="AO17" s="3">
        <v>719012</v>
      </c>
      <c r="AP17" s="3">
        <v>618187</v>
      </c>
      <c r="AQ17" s="3">
        <v>763295</v>
      </c>
      <c r="AR17" s="3">
        <v>769796</v>
      </c>
      <c r="AS17" s="3">
        <v>713937</v>
      </c>
      <c r="AT17" s="3">
        <v>712039</v>
      </c>
      <c r="AU17" s="3">
        <v>710212</v>
      </c>
      <c r="AV17" s="3">
        <v>789265</v>
      </c>
      <c r="AW17" s="3">
        <v>765615</v>
      </c>
      <c r="AX17" s="3">
        <v>690963</v>
      </c>
      <c r="AY17" s="3">
        <v>712113</v>
      </c>
      <c r="AZ17" s="3">
        <v>749275</v>
      </c>
      <c r="BA17" s="3">
        <v>763112</v>
      </c>
      <c r="BB17" s="3">
        <v>653184</v>
      </c>
      <c r="BC17" s="3">
        <v>805035</v>
      </c>
      <c r="BD17" s="3">
        <v>811507</v>
      </c>
      <c r="BE17" s="3">
        <v>753549</v>
      </c>
      <c r="BF17" s="3">
        <v>748725</v>
      </c>
      <c r="BG17" s="3">
        <v>748144</v>
      </c>
      <c r="BH17" s="3">
        <v>830099</v>
      </c>
      <c r="BI17" s="3">
        <v>797745</v>
      </c>
      <c r="BJ17" s="3">
        <v>701599</v>
      </c>
      <c r="BK17" s="3">
        <v>722492</v>
      </c>
      <c r="BL17" s="3">
        <v>799900</v>
      </c>
      <c r="BM17" s="3">
        <v>764232.5</v>
      </c>
      <c r="BN17" s="3">
        <v>764232.5</v>
      </c>
      <c r="BO17" s="8">
        <f t="shared" si="3"/>
        <v>41151727.125</v>
      </c>
      <c r="BP17" s="8"/>
    </row>
    <row r="18" spans="1:68" x14ac:dyDescent="0.25">
      <c r="A18" s="2" t="s">
        <v>82</v>
      </c>
      <c r="B18" s="2" t="s">
        <v>68</v>
      </c>
      <c r="C18" s="26">
        <v>68027.772949000006</v>
      </c>
      <c r="D18" s="26">
        <v>31016</v>
      </c>
      <c r="E18" s="26">
        <v>33237</v>
      </c>
      <c r="F18" s="26">
        <v>35584</v>
      </c>
      <c r="G18" s="26">
        <v>38940.75</v>
      </c>
      <c r="H18" s="3">
        <v>8349.7030640000012</v>
      </c>
      <c r="I18" s="3">
        <v>9697.070984</v>
      </c>
      <c r="J18" s="3">
        <v>8112.9989009999999</v>
      </c>
      <c r="K18" s="3">
        <v>7889</v>
      </c>
      <c r="L18" s="3">
        <v>8417</v>
      </c>
      <c r="M18" s="3">
        <v>8593</v>
      </c>
      <c r="N18" s="3">
        <v>7372</v>
      </c>
      <c r="O18" s="3">
        <v>5061</v>
      </c>
      <c r="P18" s="3">
        <v>2128</v>
      </c>
      <c r="Q18" s="3">
        <v>2407</v>
      </c>
      <c r="R18" s="3">
        <v>1</v>
      </c>
      <c r="S18" s="3">
        <v>2880</v>
      </c>
      <c r="T18" s="3">
        <v>2677</v>
      </c>
      <c r="U18" s="3">
        <v>2626</v>
      </c>
      <c r="V18" s="3">
        <v>2823</v>
      </c>
      <c r="W18" s="3">
        <v>2575</v>
      </c>
      <c r="X18" s="3">
        <v>2647</v>
      </c>
      <c r="Y18" s="3">
        <v>2410</v>
      </c>
      <c r="Z18" s="3">
        <v>2165</v>
      </c>
      <c r="AA18" s="3">
        <v>2311</v>
      </c>
      <c r="AB18" s="3">
        <v>2492</v>
      </c>
      <c r="AC18" s="3">
        <v>2553</v>
      </c>
      <c r="AD18" s="3">
        <v>2857</v>
      </c>
      <c r="AE18" s="3">
        <v>3088</v>
      </c>
      <c r="AF18" s="3">
        <v>2869</v>
      </c>
      <c r="AG18" s="3">
        <v>2815</v>
      </c>
      <c r="AH18" s="3">
        <v>3026</v>
      </c>
      <c r="AI18" s="3">
        <v>2760</v>
      </c>
      <c r="AJ18" s="3">
        <v>2838</v>
      </c>
      <c r="AK18" s="3">
        <v>2584</v>
      </c>
      <c r="AL18" s="3">
        <v>2320</v>
      </c>
      <c r="AM18" s="3">
        <v>2479</v>
      </c>
      <c r="AN18" s="3">
        <v>2671</v>
      </c>
      <c r="AO18" s="3">
        <v>2731</v>
      </c>
      <c r="AP18" s="3">
        <v>3056</v>
      </c>
      <c r="AQ18" s="3">
        <v>3304</v>
      </c>
      <c r="AR18" s="3">
        <v>3069</v>
      </c>
      <c r="AS18" s="3">
        <v>3012</v>
      </c>
      <c r="AT18" s="3">
        <v>3239</v>
      </c>
      <c r="AU18" s="3">
        <v>2955</v>
      </c>
      <c r="AV18" s="3">
        <v>3036</v>
      </c>
      <c r="AW18" s="3">
        <v>2764</v>
      </c>
      <c r="AX18" s="3">
        <v>2483</v>
      </c>
      <c r="AY18" s="3">
        <v>2652</v>
      </c>
      <c r="AZ18" s="3">
        <v>2859</v>
      </c>
      <c r="BA18" s="3">
        <v>2931</v>
      </c>
      <c r="BB18" s="3">
        <v>3280</v>
      </c>
      <c r="BC18" s="3">
        <v>3546</v>
      </c>
      <c r="BD18" s="3">
        <v>3293</v>
      </c>
      <c r="BE18" s="3">
        <v>3231</v>
      </c>
      <c r="BF18" s="3">
        <v>3475</v>
      </c>
      <c r="BG18" s="3">
        <v>3169</v>
      </c>
      <c r="BH18" s="3">
        <v>3259</v>
      </c>
      <c r="BI18" s="3">
        <v>2967</v>
      </c>
      <c r="BJ18" s="3">
        <v>896</v>
      </c>
      <c r="BK18" s="3">
        <v>3081</v>
      </c>
      <c r="BL18" s="3">
        <v>6181</v>
      </c>
      <c r="BM18" s="3">
        <v>2921.375</v>
      </c>
      <c r="BN18" s="3">
        <v>2921.375</v>
      </c>
      <c r="BO18" s="8">
        <f t="shared" si="3"/>
        <v>206805.52294900001</v>
      </c>
      <c r="BP18" s="8"/>
    </row>
    <row r="19" spans="1:68" x14ac:dyDescent="0.25">
      <c r="A19" s="2" t="s">
        <v>83</v>
      </c>
      <c r="B19" s="2" t="s">
        <v>68</v>
      </c>
      <c r="C19" s="26">
        <v>24609.875792999999</v>
      </c>
      <c r="D19" s="26">
        <v>31758</v>
      </c>
      <c r="E19" s="26">
        <v>34271</v>
      </c>
      <c r="F19" s="26">
        <v>36871</v>
      </c>
      <c r="G19" s="26">
        <v>39720</v>
      </c>
      <c r="H19" s="3">
        <v>796.90679899999998</v>
      </c>
      <c r="I19" s="3">
        <v>1696.2485349999999</v>
      </c>
      <c r="J19" s="3">
        <v>2390.7204590000001</v>
      </c>
      <c r="K19" s="3">
        <v>760</v>
      </c>
      <c r="L19" s="3">
        <v>3189</v>
      </c>
      <c r="M19" s="3">
        <v>2366</v>
      </c>
      <c r="N19" s="3">
        <v>2994</v>
      </c>
      <c r="O19" s="3">
        <v>2037</v>
      </c>
      <c r="P19" s="3">
        <v>3502</v>
      </c>
      <c r="Q19" s="3">
        <v>2860</v>
      </c>
      <c r="R19" s="3">
        <v>2018</v>
      </c>
      <c r="S19" s="3">
        <v>2562</v>
      </c>
      <c r="T19" s="3">
        <v>3029</v>
      </c>
      <c r="U19" s="3">
        <v>2848</v>
      </c>
      <c r="V19" s="3">
        <v>2336</v>
      </c>
      <c r="W19" s="3">
        <v>2257</v>
      </c>
      <c r="X19" s="3">
        <v>3155</v>
      </c>
      <c r="Y19" s="3">
        <v>2915</v>
      </c>
      <c r="Z19" s="3">
        <v>2112</v>
      </c>
      <c r="AA19" s="3">
        <v>2117</v>
      </c>
      <c r="AB19" s="3">
        <v>3157</v>
      </c>
      <c r="AC19" s="3">
        <v>3090</v>
      </c>
      <c r="AD19" s="3">
        <v>2180</v>
      </c>
      <c r="AE19" s="3">
        <v>2767</v>
      </c>
      <c r="AF19" s="3">
        <v>3271</v>
      </c>
      <c r="AG19" s="3">
        <v>3076</v>
      </c>
      <c r="AH19" s="3">
        <v>2524</v>
      </c>
      <c r="AI19" s="3">
        <v>2437</v>
      </c>
      <c r="AJ19" s="3">
        <v>3407</v>
      </c>
      <c r="AK19" s="3">
        <v>3148</v>
      </c>
      <c r="AL19" s="3">
        <v>2281</v>
      </c>
      <c r="AM19" s="3">
        <v>2287</v>
      </c>
      <c r="AN19" s="3">
        <v>3409</v>
      </c>
      <c r="AO19" s="3">
        <v>3321</v>
      </c>
      <c r="AP19" s="3">
        <v>2343</v>
      </c>
      <c r="AQ19" s="3">
        <v>2974</v>
      </c>
      <c r="AR19" s="3">
        <v>3517</v>
      </c>
      <c r="AS19" s="3">
        <v>3307</v>
      </c>
      <c r="AT19" s="3">
        <v>2713</v>
      </c>
      <c r="AU19" s="3">
        <v>2619</v>
      </c>
      <c r="AV19" s="3">
        <v>3663</v>
      </c>
      <c r="AW19" s="3">
        <v>3384</v>
      </c>
      <c r="AX19" s="3">
        <v>2452</v>
      </c>
      <c r="AY19" s="3">
        <v>2459</v>
      </c>
      <c r="AZ19" s="3">
        <v>3666</v>
      </c>
      <c r="BA19" s="3">
        <v>3587</v>
      </c>
      <c r="BB19" s="3">
        <v>2530</v>
      </c>
      <c r="BC19" s="3">
        <v>3212</v>
      </c>
      <c r="BD19" s="3">
        <v>3798</v>
      </c>
      <c r="BE19" s="3">
        <v>3572</v>
      </c>
      <c r="BF19" s="3">
        <v>2929</v>
      </c>
      <c r="BG19" s="3">
        <v>2830</v>
      </c>
      <c r="BH19" s="3">
        <v>3955</v>
      </c>
      <c r="BI19" s="3">
        <v>3655</v>
      </c>
      <c r="BJ19" s="3">
        <v>2648</v>
      </c>
      <c r="BK19" s="3">
        <v>2657</v>
      </c>
      <c r="BL19" s="3">
        <v>3953</v>
      </c>
      <c r="BM19" s="3">
        <v>3255.5</v>
      </c>
      <c r="BN19" s="3">
        <v>3255.5</v>
      </c>
      <c r="BO19" s="8">
        <f t="shared" si="3"/>
        <v>167229.87579299998</v>
      </c>
      <c r="BP19" s="8"/>
    </row>
    <row r="20" spans="1:68" x14ac:dyDescent="0.25">
      <c r="A20" s="2" t="s">
        <v>84</v>
      </c>
      <c r="B20" s="2" t="s">
        <v>68</v>
      </c>
      <c r="C20" s="26">
        <v>14045.063232</v>
      </c>
      <c r="D20" s="26">
        <v>14106</v>
      </c>
      <c r="E20" s="26">
        <v>14185</v>
      </c>
      <c r="F20" s="26">
        <v>14433</v>
      </c>
      <c r="G20" s="26">
        <v>15193.25</v>
      </c>
      <c r="H20" s="3">
        <v>3774.733154</v>
      </c>
      <c r="I20" s="3">
        <v>1296.957275</v>
      </c>
      <c r="J20" s="3">
        <v>1045.372803</v>
      </c>
      <c r="K20" s="3">
        <v>946</v>
      </c>
      <c r="L20" s="3">
        <v>905</v>
      </c>
      <c r="M20" s="3">
        <v>1062</v>
      </c>
      <c r="N20" s="3">
        <v>1039</v>
      </c>
      <c r="O20" s="3">
        <v>987</v>
      </c>
      <c r="P20" s="3">
        <v>928</v>
      </c>
      <c r="Q20" s="3">
        <v>1008</v>
      </c>
      <c r="R20" s="3">
        <v>1053</v>
      </c>
      <c r="S20" s="3">
        <v>1226</v>
      </c>
      <c r="T20" s="3">
        <v>1229</v>
      </c>
      <c r="U20" s="3">
        <v>1120</v>
      </c>
      <c r="V20" s="3">
        <v>1193</v>
      </c>
      <c r="W20" s="3">
        <v>1141</v>
      </c>
      <c r="X20" s="3">
        <v>1263</v>
      </c>
      <c r="Y20" s="3">
        <v>1255</v>
      </c>
      <c r="Z20" s="3">
        <v>1154</v>
      </c>
      <c r="AA20" s="3">
        <v>1140</v>
      </c>
      <c r="AB20" s="3">
        <v>1150</v>
      </c>
      <c r="AC20" s="3">
        <v>1182</v>
      </c>
      <c r="AD20" s="3">
        <v>1053</v>
      </c>
      <c r="AE20" s="3">
        <v>1229</v>
      </c>
      <c r="AF20" s="3">
        <v>1229</v>
      </c>
      <c r="AG20" s="3">
        <v>1123</v>
      </c>
      <c r="AH20" s="3">
        <v>1194</v>
      </c>
      <c r="AI20" s="3">
        <v>1141</v>
      </c>
      <c r="AJ20" s="3">
        <v>1265</v>
      </c>
      <c r="AK20" s="3">
        <v>1255</v>
      </c>
      <c r="AL20" s="3">
        <v>1152</v>
      </c>
      <c r="AM20" s="3">
        <v>1149</v>
      </c>
      <c r="AN20" s="3">
        <v>1173</v>
      </c>
      <c r="AO20" s="3">
        <v>1204</v>
      </c>
      <c r="AP20" s="3">
        <v>1071</v>
      </c>
      <c r="AQ20" s="3">
        <v>1256</v>
      </c>
      <c r="AR20" s="3">
        <v>1251</v>
      </c>
      <c r="AS20" s="3">
        <v>1144</v>
      </c>
      <c r="AT20" s="3">
        <v>1215</v>
      </c>
      <c r="AU20" s="3">
        <v>1162</v>
      </c>
      <c r="AV20" s="3">
        <v>1290</v>
      </c>
      <c r="AW20" s="3">
        <v>1279</v>
      </c>
      <c r="AX20" s="3">
        <v>1172</v>
      </c>
      <c r="AY20" s="3">
        <v>1167</v>
      </c>
      <c r="AZ20" s="3">
        <v>1190</v>
      </c>
      <c r="BA20" s="3">
        <v>1220</v>
      </c>
      <c r="BB20" s="3">
        <v>1087</v>
      </c>
      <c r="BC20" s="3">
        <v>1271</v>
      </c>
      <c r="BD20" s="3">
        <v>1271</v>
      </c>
      <c r="BE20" s="3">
        <v>1159</v>
      </c>
      <c r="BF20" s="3">
        <v>1231</v>
      </c>
      <c r="BG20" s="3">
        <v>1179</v>
      </c>
      <c r="BH20" s="3">
        <v>1308</v>
      </c>
      <c r="BI20" s="3">
        <v>1296</v>
      </c>
      <c r="BJ20" s="3">
        <v>1198</v>
      </c>
      <c r="BK20" s="3">
        <v>1303</v>
      </c>
      <c r="BL20" s="3">
        <v>1491</v>
      </c>
      <c r="BM20" s="3">
        <v>1243.125</v>
      </c>
      <c r="BN20" s="3">
        <v>1243.125</v>
      </c>
      <c r="BO20" s="8">
        <f t="shared" si="3"/>
        <v>71962.313232</v>
      </c>
      <c r="BP20" s="8"/>
    </row>
    <row r="21" spans="1:68" x14ac:dyDescent="0.25">
      <c r="A21" s="2" t="s">
        <v>85</v>
      </c>
      <c r="B21" s="2" t="s">
        <v>68</v>
      </c>
      <c r="C21" s="26">
        <v>151837.654297</v>
      </c>
      <c r="D21" s="26">
        <v>243628</v>
      </c>
      <c r="E21" s="26">
        <v>246482</v>
      </c>
      <c r="F21" s="26">
        <v>251273</v>
      </c>
      <c r="G21" s="26">
        <v>249518.75</v>
      </c>
      <c r="H21" s="3">
        <v>13099.209961</v>
      </c>
      <c r="I21" s="3">
        <v>15268.167969</v>
      </c>
      <c r="J21" s="3">
        <v>12325.276367</v>
      </c>
      <c r="K21" s="3">
        <v>12321</v>
      </c>
      <c r="L21" s="3">
        <v>12221</v>
      </c>
      <c r="M21" s="3">
        <v>12114</v>
      </c>
      <c r="N21" s="3">
        <v>13025</v>
      </c>
      <c r="O21" s="3">
        <v>13076</v>
      </c>
      <c r="P21" s="3">
        <v>14895</v>
      </c>
      <c r="Q21" s="3">
        <v>15652</v>
      </c>
      <c r="R21" s="3">
        <v>17841</v>
      </c>
      <c r="S21" s="3">
        <v>20955</v>
      </c>
      <c r="T21" s="3">
        <v>19958</v>
      </c>
      <c r="U21" s="3">
        <v>17178</v>
      </c>
      <c r="V21" s="3">
        <v>18393</v>
      </c>
      <c r="W21" s="3">
        <v>19974</v>
      </c>
      <c r="X21" s="3">
        <v>24422</v>
      </c>
      <c r="Y21" s="3">
        <v>24013</v>
      </c>
      <c r="Z21" s="3">
        <v>21691</v>
      </c>
      <c r="AA21" s="3">
        <v>20212</v>
      </c>
      <c r="AB21" s="3">
        <v>18981</v>
      </c>
      <c r="AC21" s="3">
        <v>19871</v>
      </c>
      <c r="AD21" s="3">
        <v>17980</v>
      </c>
      <c r="AE21" s="3">
        <v>21165</v>
      </c>
      <c r="AF21" s="3">
        <v>20169</v>
      </c>
      <c r="AG21" s="3">
        <v>17387</v>
      </c>
      <c r="AH21" s="3">
        <v>18583</v>
      </c>
      <c r="AI21" s="3">
        <v>20147</v>
      </c>
      <c r="AJ21" s="3">
        <v>24588</v>
      </c>
      <c r="AK21" s="3">
        <v>24153</v>
      </c>
      <c r="AL21" s="3">
        <v>21817</v>
      </c>
      <c r="AM21" s="3">
        <v>20453</v>
      </c>
      <c r="AN21" s="3">
        <v>19401</v>
      </c>
      <c r="AO21" s="3">
        <v>20283</v>
      </c>
      <c r="AP21" s="3">
        <v>18336</v>
      </c>
      <c r="AQ21" s="3">
        <v>21616</v>
      </c>
      <c r="AR21" s="3">
        <v>20599</v>
      </c>
      <c r="AS21" s="3">
        <v>17778</v>
      </c>
      <c r="AT21" s="3">
        <v>18980</v>
      </c>
      <c r="AU21" s="3">
        <v>20556</v>
      </c>
      <c r="AV21" s="3">
        <v>25064</v>
      </c>
      <c r="AW21" s="3">
        <v>24609</v>
      </c>
      <c r="AX21" s="3">
        <v>22214</v>
      </c>
      <c r="AY21" s="3">
        <v>20822</v>
      </c>
      <c r="AZ21" s="3">
        <v>19756</v>
      </c>
      <c r="BA21" s="3">
        <v>20644</v>
      </c>
      <c r="BB21" s="3">
        <v>18635</v>
      </c>
      <c r="BC21" s="3">
        <v>22012</v>
      </c>
      <c r="BD21" s="3">
        <v>20984</v>
      </c>
      <c r="BE21" s="3">
        <v>18138</v>
      </c>
      <c r="BF21" s="3">
        <v>19331</v>
      </c>
      <c r="BG21" s="3">
        <v>20905</v>
      </c>
      <c r="BH21" s="3">
        <v>25449</v>
      </c>
      <c r="BI21" s="3">
        <v>24979</v>
      </c>
      <c r="BJ21" s="3">
        <v>22070</v>
      </c>
      <c r="BK21" s="3">
        <v>18515</v>
      </c>
      <c r="BL21" s="3">
        <v>14543</v>
      </c>
      <c r="BM21" s="3">
        <v>21296.375</v>
      </c>
      <c r="BN21" s="3">
        <v>21296.375</v>
      </c>
      <c r="BO21" s="8">
        <f t="shared" si="3"/>
        <v>1142739.404297</v>
      </c>
      <c r="BP21" s="8"/>
    </row>
    <row r="22" spans="1:68" x14ac:dyDescent="0.25">
      <c r="A22" s="2" t="s">
        <v>86</v>
      </c>
      <c r="B22" s="2" t="s">
        <v>68</v>
      </c>
      <c r="C22" s="26">
        <v>84883.464844000002</v>
      </c>
      <c r="D22" s="26">
        <v>37961</v>
      </c>
      <c r="E22" s="26">
        <v>40963</v>
      </c>
      <c r="F22" s="26">
        <v>44073</v>
      </c>
      <c r="G22" s="26">
        <v>60942.5</v>
      </c>
      <c r="H22" s="3">
        <v>10732.130859000001</v>
      </c>
      <c r="I22" s="3">
        <v>11784.523438</v>
      </c>
      <c r="J22" s="3">
        <v>9860.8105469999991</v>
      </c>
      <c r="K22" s="3">
        <v>11325</v>
      </c>
      <c r="L22" s="3">
        <v>5876</v>
      </c>
      <c r="M22" s="3">
        <v>10311</v>
      </c>
      <c r="N22" s="3">
        <v>8748</v>
      </c>
      <c r="O22" s="3">
        <v>6588</v>
      </c>
      <c r="P22" s="3">
        <v>3875</v>
      </c>
      <c r="Q22" s="3">
        <v>3027</v>
      </c>
      <c r="R22" s="3">
        <v>2756</v>
      </c>
      <c r="S22" s="3">
        <v>3086</v>
      </c>
      <c r="T22" s="3">
        <v>3147</v>
      </c>
      <c r="U22" s="3">
        <v>2351</v>
      </c>
      <c r="V22" s="3">
        <v>2859</v>
      </c>
      <c r="W22" s="3">
        <v>2600</v>
      </c>
      <c r="X22" s="3">
        <v>3077</v>
      </c>
      <c r="Y22" s="3">
        <v>3817</v>
      </c>
      <c r="Z22" s="3">
        <v>3302</v>
      </c>
      <c r="AA22" s="3">
        <v>3550</v>
      </c>
      <c r="AB22" s="3">
        <v>3926</v>
      </c>
      <c r="AC22" s="3">
        <v>3269</v>
      </c>
      <c r="AD22" s="3">
        <v>2977</v>
      </c>
      <c r="AE22" s="3">
        <v>3333</v>
      </c>
      <c r="AF22" s="3">
        <v>3399</v>
      </c>
      <c r="AG22" s="3">
        <v>2539</v>
      </c>
      <c r="AH22" s="3">
        <v>3086</v>
      </c>
      <c r="AI22" s="3">
        <v>2808</v>
      </c>
      <c r="AJ22" s="3">
        <v>3324</v>
      </c>
      <c r="AK22" s="3">
        <v>4123</v>
      </c>
      <c r="AL22" s="3">
        <v>3566</v>
      </c>
      <c r="AM22" s="3">
        <v>3834</v>
      </c>
      <c r="AN22" s="3">
        <v>4236</v>
      </c>
      <c r="AO22" s="3">
        <v>3515</v>
      </c>
      <c r="AP22" s="3">
        <v>3200</v>
      </c>
      <c r="AQ22" s="3">
        <v>3583</v>
      </c>
      <c r="AR22" s="3">
        <v>3653</v>
      </c>
      <c r="AS22" s="3">
        <v>2729</v>
      </c>
      <c r="AT22" s="3">
        <v>3317</v>
      </c>
      <c r="AU22" s="3">
        <v>3019</v>
      </c>
      <c r="AV22" s="3">
        <v>3574</v>
      </c>
      <c r="AW22" s="3">
        <v>4431</v>
      </c>
      <c r="AX22" s="3">
        <v>3834</v>
      </c>
      <c r="AY22" s="3">
        <v>4123</v>
      </c>
      <c r="AZ22" s="3">
        <v>4557</v>
      </c>
      <c r="BA22" s="3">
        <v>3794</v>
      </c>
      <c r="BB22" s="3">
        <v>3459</v>
      </c>
      <c r="BC22" s="3">
        <v>3869</v>
      </c>
      <c r="BD22" s="3">
        <v>3944</v>
      </c>
      <c r="BE22" s="3">
        <v>2949</v>
      </c>
      <c r="BF22" s="3">
        <v>3584</v>
      </c>
      <c r="BG22" s="3">
        <v>3259</v>
      </c>
      <c r="BH22" s="3">
        <v>3859</v>
      </c>
      <c r="BI22" s="3">
        <v>4787</v>
      </c>
      <c r="BJ22" s="3">
        <v>5047</v>
      </c>
      <c r="BK22" s="3">
        <v>8349</v>
      </c>
      <c r="BL22" s="3">
        <v>12351</v>
      </c>
      <c r="BM22" s="3">
        <v>4472.25</v>
      </c>
      <c r="BN22" s="3">
        <v>4472.25</v>
      </c>
      <c r="BO22" s="8">
        <f t="shared" si="3"/>
        <v>268822.964844</v>
      </c>
      <c r="BP22" s="8"/>
    </row>
    <row r="23" spans="1:68" x14ac:dyDescent="0.25">
      <c r="A23" s="2" t="s">
        <v>87</v>
      </c>
      <c r="B23" s="2" t="s">
        <v>68</v>
      </c>
      <c r="C23" s="26">
        <v>22037</v>
      </c>
      <c r="D23" s="26">
        <v>24803</v>
      </c>
      <c r="E23" s="26">
        <v>25729</v>
      </c>
      <c r="F23" s="26">
        <v>27538</v>
      </c>
      <c r="G23" s="26">
        <v>26039</v>
      </c>
      <c r="H23" s="3">
        <v>2000</v>
      </c>
      <c r="I23" s="3">
        <v>2400</v>
      </c>
      <c r="J23" s="3">
        <v>2000</v>
      </c>
      <c r="K23" s="3">
        <v>1972</v>
      </c>
      <c r="L23" s="3">
        <v>1267</v>
      </c>
      <c r="M23" s="3">
        <v>2022</v>
      </c>
      <c r="N23" s="3">
        <v>2087</v>
      </c>
      <c r="O23" s="3">
        <v>2241</v>
      </c>
      <c r="P23" s="3">
        <v>2156</v>
      </c>
      <c r="Q23" s="3">
        <v>2035</v>
      </c>
      <c r="R23" s="3">
        <v>1857</v>
      </c>
      <c r="S23" s="3">
        <v>2213</v>
      </c>
      <c r="T23" s="3">
        <v>2367</v>
      </c>
      <c r="U23" s="3">
        <v>1885</v>
      </c>
      <c r="V23" s="3">
        <v>2061</v>
      </c>
      <c r="W23" s="3">
        <v>1779</v>
      </c>
      <c r="X23" s="3">
        <v>1866</v>
      </c>
      <c r="Y23" s="3">
        <v>1986</v>
      </c>
      <c r="Z23" s="3">
        <v>2201</v>
      </c>
      <c r="AA23" s="3">
        <v>2261</v>
      </c>
      <c r="AB23" s="3">
        <v>2194</v>
      </c>
      <c r="AC23" s="3">
        <v>2086</v>
      </c>
      <c r="AD23" s="3">
        <v>1904</v>
      </c>
      <c r="AE23" s="3">
        <v>2272</v>
      </c>
      <c r="AF23" s="3">
        <v>2429</v>
      </c>
      <c r="AG23" s="3">
        <v>1931</v>
      </c>
      <c r="AH23" s="3">
        <v>2105</v>
      </c>
      <c r="AI23" s="3">
        <v>1811</v>
      </c>
      <c r="AJ23" s="3">
        <v>1908</v>
      </c>
      <c r="AK23" s="3">
        <v>2032</v>
      </c>
      <c r="AL23" s="3">
        <v>2278</v>
      </c>
      <c r="AM23" s="3">
        <v>2361</v>
      </c>
      <c r="AN23" s="3">
        <v>2324</v>
      </c>
      <c r="AO23" s="3">
        <v>2234</v>
      </c>
      <c r="AP23" s="3">
        <v>2044</v>
      </c>
      <c r="AQ23" s="3">
        <v>2439</v>
      </c>
      <c r="AR23" s="3">
        <v>2605</v>
      </c>
      <c r="AS23" s="3">
        <v>2061</v>
      </c>
      <c r="AT23" s="3">
        <v>2242</v>
      </c>
      <c r="AU23" s="3">
        <v>1923</v>
      </c>
      <c r="AV23" s="3">
        <v>2034</v>
      </c>
      <c r="AW23" s="3">
        <v>2184</v>
      </c>
      <c r="AX23" s="3">
        <v>2419</v>
      </c>
      <c r="AY23" s="3">
        <v>2494</v>
      </c>
      <c r="AZ23" s="3">
        <v>2490</v>
      </c>
      <c r="BA23" s="3">
        <v>2422</v>
      </c>
      <c r="BB23" s="3">
        <v>2225</v>
      </c>
      <c r="BC23" s="3">
        <v>2655</v>
      </c>
      <c r="BD23" s="3">
        <v>2834</v>
      </c>
      <c r="BE23" s="3">
        <v>2230</v>
      </c>
      <c r="BF23" s="3">
        <v>2412</v>
      </c>
      <c r="BG23" s="3">
        <v>2069</v>
      </c>
      <c r="BH23" s="3">
        <v>1973</v>
      </c>
      <c r="BI23" s="3">
        <v>2007</v>
      </c>
      <c r="BJ23" s="3">
        <v>1902</v>
      </c>
      <c r="BK23" s="3">
        <v>1793</v>
      </c>
      <c r="BL23" s="3">
        <v>1859</v>
      </c>
      <c r="BM23" s="3">
        <v>2152.5</v>
      </c>
      <c r="BN23" s="3">
        <v>2152.5</v>
      </c>
      <c r="BO23" s="8">
        <f t="shared" si="3"/>
        <v>126146</v>
      </c>
      <c r="BP23" s="8"/>
    </row>
    <row r="24" spans="1:68" x14ac:dyDescent="0.25">
      <c r="A24" s="2" t="s">
        <v>88</v>
      </c>
      <c r="B24" s="2" t="s">
        <v>68</v>
      </c>
      <c r="C24" s="26">
        <v>18021</v>
      </c>
      <c r="D24" s="26">
        <v>25092</v>
      </c>
      <c r="E24" s="26">
        <v>27190</v>
      </c>
      <c r="F24" s="26">
        <v>30174</v>
      </c>
      <c r="G24" s="26">
        <v>30428.5</v>
      </c>
      <c r="H24" s="3"/>
      <c r="I24" s="3"/>
      <c r="J24" s="3"/>
      <c r="K24" s="3">
        <v>2300</v>
      </c>
      <c r="L24" s="3">
        <v>1500</v>
      </c>
      <c r="M24" s="3">
        <v>2300</v>
      </c>
      <c r="N24" s="3">
        <v>2500</v>
      </c>
      <c r="O24" s="3">
        <v>2500</v>
      </c>
      <c r="P24" s="3">
        <v>2500</v>
      </c>
      <c r="Q24" s="3">
        <v>2500</v>
      </c>
      <c r="R24" s="3">
        <v>1921</v>
      </c>
      <c r="S24" s="3">
        <v>2160</v>
      </c>
      <c r="T24" s="3">
        <v>2436</v>
      </c>
      <c r="U24" s="3">
        <v>2199</v>
      </c>
      <c r="V24" s="3">
        <v>2170</v>
      </c>
      <c r="W24" s="3">
        <v>2074</v>
      </c>
      <c r="X24" s="3">
        <v>1867</v>
      </c>
      <c r="Y24" s="3">
        <v>1945</v>
      </c>
      <c r="Z24" s="3">
        <v>2288</v>
      </c>
      <c r="AA24" s="3">
        <v>2056</v>
      </c>
      <c r="AB24" s="3">
        <v>1775</v>
      </c>
      <c r="AC24" s="3">
        <v>2062</v>
      </c>
      <c r="AD24" s="3">
        <v>2060</v>
      </c>
      <c r="AE24" s="3">
        <v>2319</v>
      </c>
      <c r="AF24" s="3">
        <v>2622</v>
      </c>
      <c r="AG24" s="3">
        <v>2366</v>
      </c>
      <c r="AH24" s="3">
        <v>2336</v>
      </c>
      <c r="AI24" s="3">
        <v>2228</v>
      </c>
      <c r="AJ24" s="3">
        <v>2001</v>
      </c>
      <c r="AK24" s="3">
        <v>2089</v>
      </c>
      <c r="AL24" s="3">
        <v>2458</v>
      </c>
      <c r="AM24" s="3">
        <v>2236</v>
      </c>
      <c r="AN24" s="3">
        <v>1962</v>
      </c>
      <c r="AO24" s="3">
        <v>2287</v>
      </c>
      <c r="AP24" s="3">
        <v>2286</v>
      </c>
      <c r="AQ24" s="3">
        <v>2577</v>
      </c>
      <c r="AR24" s="3">
        <v>2923</v>
      </c>
      <c r="AS24" s="3">
        <v>2636</v>
      </c>
      <c r="AT24" s="3">
        <v>2602</v>
      </c>
      <c r="AU24" s="3">
        <v>2479</v>
      </c>
      <c r="AV24" s="3">
        <v>2221</v>
      </c>
      <c r="AW24" s="3">
        <v>2322</v>
      </c>
      <c r="AX24" s="3">
        <v>2764</v>
      </c>
      <c r="AY24" s="3">
        <v>2474</v>
      </c>
      <c r="AZ24" s="3">
        <v>2152</v>
      </c>
      <c r="BA24" s="3">
        <v>2509</v>
      </c>
      <c r="BB24" s="3">
        <v>2515</v>
      </c>
      <c r="BC24" s="3">
        <v>2835</v>
      </c>
      <c r="BD24" s="3">
        <v>3224</v>
      </c>
      <c r="BE24" s="3">
        <v>2904</v>
      </c>
      <c r="BF24" s="3">
        <v>2868</v>
      </c>
      <c r="BG24" s="3">
        <v>2728</v>
      </c>
      <c r="BH24" s="3">
        <v>2437</v>
      </c>
      <c r="BI24" s="3">
        <v>2171</v>
      </c>
      <c r="BJ24" s="3">
        <v>2175</v>
      </c>
      <c r="BK24" s="3">
        <v>2027</v>
      </c>
      <c r="BL24" s="3">
        <v>1926</v>
      </c>
      <c r="BM24" s="3">
        <v>2566.75</v>
      </c>
      <c r="BN24" s="3">
        <v>2566.75</v>
      </c>
      <c r="BO24" s="8">
        <f t="shared" si="3"/>
        <v>130905.5</v>
      </c>
      <c r="BP24" s="8"/>
    </row>
    <row r="25" spans="1:68" x14ac:dyDescent="0.25">
      <c r="A25" s="2" t="s">
        <v>89</v>
      </c>
      <c r="B25" s="2" t="s">
        <v>68</v>
      </c>
      <c r="C25" s="26">
        <v>6000</v>
      </c>
      <c r="D25" s="26">
        <v>6324</v>
      </c>
      <c r="E25" s="26">
        <v>6205</v>
      </c>
      <c r="F25" s="26">
        <v>6021</v>
      </c>
      <c r="G25" s="26">
        <v>6301</v>
      </c>
      <c r="H25" s="3">
        <v>700</v>
      </c>
      <c r="I25" s="3">
        <v>960</v>
      </c>
      <c r="J25" s="3">
        <v>800</v>
      </c>
      <c r="K25" s="3">
        <v>463</v>
      </c>
      <c r="L25" s="3">
        <v>250</v>
      </c>
      <c r="M25" s="3">
        <v>463</v>
      </c>
      <c r="N25" s="3">
        <v>467</v>
      </c>
      <c r="O25" s="3">
        <v>472</v>
      </c>
      <c r="P25" s="3">
        <v>476</v>
      </c>
      <c r="Q25" s="3">
        <v>488</v>
      </c>
      <c r="R25" s="3">
        <v>461</v>
      </c>
      <c r="S25" s="3">
        <v>565</v>
      </c>
      <c r="T25" s="3">
        <v>570</v>
      </c>
      <c r="U25" s="3">
        <v>507</v>
      </c>
      <c r="V25" s="3">
        <v>553</v>
      </c>
      <c r="W25" s="3">
        <v>540</v>
      </c>
      <c r="X25" s="3">
        <v>576</v>
      </c>
      <c r="Y25" s="3">
        <v>547</v>
      </c>
      <c r="Z25" s="3">
        <v>510</v>
      </c>
      <c r="AA25" s="3">
        <v>513</v>
      </c>
      <c r="AB25" s="3">
        <v>507</v>
      </c>
      <c r="AC25" s="3">
        <v>482</v>
      </c>
      <c r="AD25" s="3">
        <v>454</v>
      </c>
      <c r="AE25" s="3">
        <v>558</v>
      </c>
      <c r="AF25" s="3">
        <v>561</v>
      </c>
      <c r="AG25" s="3">
        <v>494</v>
      </c>
      <c r="AH25" s="3">
        <v>543</v>
      </c>
      <c r="AI25" s="3">
        <v>531</v>
      </c>
      <c r="AJ25" s="3">
        <v>565</v>
      </c>
      <c r="AK25" s="3">
        <v>535</v>
      </c>
      <c r="AL25" s="3">
        <v>490</v>
      </c>
      <c r="AM25" s="3">
        <v>493</v>
      </c>
      <c r="AN25" s="3">
        <v>500</v>
      </c>
      <c r="AO25" s="3">
        <v>485</v>
      </c>
      <c r="AP25" s="3">
        <v>450</v>
      </c>
      <c r="AQ25" s="3">
        <v>534</v>
      </c>
      <c r="AR25" s="3">
        <v>530</v>
      </c>
      <c r="AS25" s="3">
        <v>468</v>
      </c>
      <c r="AT25" s="3">
        <v>510</v>
      </c>
      <c r="AU25" s="3">
        <v>506</v>
      </c>
      <c r="AV25" s="3">
        <v>557</v>
      </c>
      <c r="AW25" s="3">
        <v>531</v>
      </c>
      <c r="AX25" s="3">
        <v>489</v>
      </c>
      <c r="AY25" s="3">
        <v>493</v>
      </c>
      <c r="AZ25" s="3">
        <v>498</v>
      </c>
      <c r="BA25" s="3">
        <v>475</v>
      </c>
      <c r="BB25" s="3">
        <v>430</v>
      </c>
      <c r="BC25" s="3">
        <v>510</v>
      </c>
      <c r="BD25" s="3">
        <v>504</v>
      </c>
      <c r="BE25" s="3">
        <v>450</v>
      </c>
      <c r="BF25" s="3">
        <v>504</v>
      </c>
      <c r="BG25" s="3">
        <v>502</v>
      </c>
      <c r="BH25" s="3">
        <v>541</v>
      </c>
      <c r="BI25" s="3">
        <v>508</v>
      </c>
      <c r="BJ25" s="3">
        <v>503</v>
      </c>
      <c r="BK25" s="3">
        <v>588</v>
      </c>
      <c r="BL25" s="3">
        <v>666</v>
      </c>
      <c r="BM25" s="3">
        <v>512.5</v>
      </c>
      <c r="BN25" s="3">
        <v>512.5</v>
      </c>
      <c r="BO25" s="8">
        <f t="shared" si="3"/>
        <v>30851</v>
      </c>
      <c r="BP25" s="8"/>
    </row>
    <row r="26" spans="1:68" x14ac:dyDescent="0.25">
      <c r="A26" s="2" t="s">
        <v>90</v>
      </c>
      <c r="B26" s="2" t="s">
        <v>68</v>
      </c>
      <c r="C26" s="26">
        <v>30244</v>
      </c>
      <c r="D26" s="26">
        <v>36926</v>
      </c>
      <c r="E26" s="26">
        <v>38188</v>
      </c>
      <c r="F26" s="26">
        <v>40584</v>
      </c>
      <c r="G26" s="26">
        <v>42785.75</v>
      </c>
      <c r="H26" s="3">
        <v>5195</v>
      </c>
      <c r="I26" s="3">
        <v>5760</v>
      </c>
      <c r="J26" s="3">
        <v>4800</v>
      </c>
      <c r="K26" s="3">
        <v>2049</v>
      </c>
      <c r="L26" s="3">
        <v>1047</v>
      </c>
      <c r="M26" s="3">
        <v>1823</v>
      </c>
      <c r="N26" s="3">
        <v>1774</v>
      </c>
      <c r="O26" s="3">
        <v>1927</v>
      </c>
      <c r="P26" s="3">
        <v>1984</v>
      </c>
      <c r="Q26" s="3">
        <v>1937</v>
      </c>
      <c r="R26" s="3">
        <v>1948</v>
      </c>
      <c r="S26" s="3">
        <v>3401</v>
      </c>
      <c r="T26" s="3">
        <v>3207</v>
      </c>
      <c r="U26" s="3">
        <v>2395</v>
      </c>
      <c r="V26" s="3">
        <v>3046</v>
      </c>
      <c r="W26" s="3">
        <v>3248</v>
      </c>
      <c r="X26" s="3">
        <v>3194</v>
      </c>
      <c r="Y26" s="3">
        <v>2946</v>
      </c>
      <c r="Z26" s="3">
        <v>3097</v>
      </c>
      <c r="AA26" s="3">
        <v>3153</v>
      </c>
      <c r="AB26" s="3">
        <v>3206</v>
      </c>
      <c r="AC26" s="3">
        <v>3008</v>
      </c>
      <c r="AD26" s="3">
        <v>3025</v>
      </c>
      <c r="AE26" s="3">
        <v>3536</v>
      </c>
      <c r="AF26" s="3">
        <v>3338</v>
      </c>
      <c r="AG26" s="3">
        <v>2493</v>
      </c>
      <c r="AH26" s="3">
        <v>3159</v>
      </c>
      <c r="AI26" s="3">
        <v>3366</v>
      </c>
      <c r="AJ26" s="3">
        <v>3310</v>
      </c>
      <c r="AK26" s="3">
        <v>2931</v>
      </c>
      <c r="AL26" s="3">
        <v>3134</v>
      </c>
      <c r="AM26" s="3">
        <v>3261</v>
      </c>
      <c r="AN26" s="3">
        <v>3309</v>
      </c>
      <c r="AO26" s="3">
        <v>3144</v>
      </c>
      <c r="AP26" s="3">
        <v>3207</v>
      </c>
      <c r="AQ26" s="3">
        <v>3755</v>
      </c>
      <c r="AR26" s="3">
        <v>3550</v>
      </c>
      <c r="AS26" s="3">
        <v>2667</v>
      </c>
      <c r="AT26" s="3">
        <v>3367</v>
      </c>
      <c r="AU26" s="3">
        <v>3565</v>
      </c>
      <c r="AV26" s="3">
        <v>3503</v>
      </c>
      <c r="AW26" s="3">
        <v>3133</v>
      </c>
      <c r="AX26" s="3">
        <v>3326</v>
      </c>
      <c r="AY26" s="3">
        <v>3464</v>
      </c>
      <c r="AZ26" s="3">
        <v>3513</v>
      </c>
      <c r="BA26" s="3">
        <v>3337</v>
      </c>
      <c r="BB26" s="3">
        <v>3404</v>
      </c>
      <c r="BC26" s="3">
        <v>3986</v>
      </c>
      <c r="BD26" s="3">
        <v>3764</v>
      </c>
      <c r="BE26" s="3">
        <v>2826</v>
      </c>
      <c r="BF26" s="3">
        <v>3553</v>
      </c>
      <c r="BG26" s="3">
        <v>3755</v>
      </c>
      <c r="BH26" s="3">
        <v>3758</v>
      </c>
      <c r="BI26" s="3">
        <v>3386</v>
      </c>
      <c r="BJ26" s="3">
        <v>3467</v>
      </c>
      <c r="BK26" s="3">
        <v>3578</v>
      </c>
      <c r="BL26" s="3">
        <v>3691</v>
      </c>
      <c r="BM26" s="3">
        <v>3510.875</v>
      </c>
      <c r="BN26" s="3">
        <v>3510.875</v>
      </c>
      <c r="BO26" s="8">
        <f t="shared" si="3"/>
        <v>188727.75</v>
      </c>
      <c r="BP26" s="8"/>
    </row>
    <row r="27" spans="1:68" x14ac:dyDescent="0.25">
      <c r="A27" s="2" t="s">
        <v>91</v>
      </c>
      <c r="B27" s="2" t="s">
        <v>68</v>
      </c>
      <c r="C27" s="26">
        <v>3400.1327970000002</v>
      </c>
      <c r="D27" s="26">
        <v>4927</v>
      </c>
      <c r="E27" s="26">
        <v>5323</v>
      </c>
      <c r="F27" s="26">
        <v>5611</v>
      </c>
      <c r="G27" s="26">
        <v>6568.25</v>
      </c>
      <c r="H27" s="3">
        <v>132.97654700000001</v>
      </c>
      <c r="I27" s="3">
        <v>319.51757800000001</v>
      </c>
      <c r="J27" s="3">
        <v>309.63867199999999</v>
      </c>
      <c r="K27" s="3">
        <v>308</v>
      </c>
      <c r="L27" s="3">
        <v>147</v>
      </c>
      <c r="M27" s="3">
        <v>312</v>
      </c>
      <c r="N27" s="3">
        <v>423</v>
      </c>
      <c r="O27" s="3">
        <v>444</v>
      </c>
      <c r="P27" s="3">
        <v>366</v>
      </c>
      <c r="Q27" s="3">
        <v>329</v>
      </c>
      <c r="R27" s="3">
        <v>309</v>
      </c>
      <c r="S27" s="3">
        <v>375</v>
      </c>
      <c r="T27" s="3">
        <v>347</v>
      </c>
      <c r="U27" s="3">
        <v>313</v>
      </c>
      <c r="V27" s="3">
        <v>356</v>
      </c>
      <c r="W27" s="3">
        <v>443</v>
      </c>
      <c r="X27" s="3">
        <v>575</v>
      </c>
      <c r="Y27" s="3">
        <v>570</v>
      </c>
      <c r="Z27" s="3">
        <v>489</v>
      </c>
      <c r="AA27" s="3">
        <v>407</v>
      </c>
      <c r="AB27" s="3">
        <v>349</v>
      </c>
      <c r="AC27" s="3">
        <v>364</v>
      </c>
      <c r="AD27" s="3">
        <v>339</v>
      </c>
      <c r="AE27" s="3">
        <v>416</v>
      </c>
      <c r="AF27" s="3">
        <v>388</v>
      </c>
      <c r="AG27" s="3">
        <v>349</v>
      </c>
      <c r="AH27" s="3">
        <v>392</v>
      </c>
      <c r="AI27" s="3">
        <v>478</v>
      </c>
      <c r="AJ27" s="3">
        <v>611</v>
      </c>
      <c r="AK27" s="3">
        <v>602</v>
      </c>
      <c r="AL27" s="3">
        <v>517</v>
      </c>
      <c r="AM27" s="3">
        <v>442</v>
      </c>
      <c r="AN27" s="3">
        <v>385</v>
      </c>
      <c r="AO27" s="3">
        <v>385</v>
      </c>
      <c r="AP27" s="3">
        <v>358</v>
      </c>
      <c r="AQ27" s="3">
        <v>440</v>
      </c>
      <c r="AR27" s="3">
        <v>410</v>
      </c>
      <c r="AS27" s="3">
        <v>370</v>
      </c>
      <c r="AT27" s="3">
        <v>412</v>
      </c>
      <c r="AU27" s="3">
        <v>500</v>
      </c>
      <c r="AV27" s="3">
        <v>634</v>
      </c>
      <c r="AW27" s="3">
        <v>623</v>
      </c>
      <c r="AX27" s="3">
        <v>537</v>
      </c>
      <c r="AY27" s="3">
        <v>465</v>
      </c>
      <c r="AZ27" s="3">
        <v>414</v>
      </c>
      <c r="BA27" s="3">
        <v>418</v>
      </c>
      <c r="BB27" s="3">
        <v>388</v>
      </c>
      <c r="BC27" s="3">
        <v>476</v>
      </c>
      <c r="BD27" s="3">
        <v>447</v>
      </c>
      <c r="BE27" s="3">
        <v>403</v>
      </c>
      <c r="BF27" s="3">
        <v>445</v>
      </c>
      <c r="BG27" s="3">
        <v>532</v>
      </c>
      <c r="BH27" s="3">
        <v>669</v>
      </c>
      <c r="BI27" s="3">
        <v>655</v>
      </c>
      <c r="BJ27" s="3">
        <v>598</v>
      </c>
      <c r="BK27" s="3">
        <v>612</v>
      </c>
      <c r="BL27" s="3">
        <v>641</v>
      </c>
      <c r="BM27" s="3">
        <v>545.125</v>
      </c>
      <c r="BN27" s="3">
        <v>545.125</v>
      </c>
      <c r="BO27" s="8">
        <f t="shared" si="3"/>
        <v>25829.382796999998</v>
      </c>
      <c r="BP27" s="8"/>
    </row>
    <row r="28" spans="1:68" x14ac:dyDescent="0.25">
      <c r="A28" s="2" t="s">
        <v>92</v>
      </c>
      <c r="B28" s="2" t="s">
        <v>68</v>
      </c>
      <c r="C28" s="26">
        <v>3535.9503030000001</v>
      </c>
      <c r="D28" s="26">
        <v>4425</v>
      </c>
      <c r="E28" s="26">
        <v>4764</v>
      </c>
      <c r="F28" s="26">
        <v>5127</v>
      </c>
      <c r="G28" s="26">
        <v>5921.75</v>
      </c>
      <c r="H28" s="3">
        <v>278.74603300000001</v>
      </c>
      <c r="I28" s="3">
        <v>98.868911999999995</v>
      </c>
      <c r="J28" s="3">
        <v>142.33535800000001</v>
      </c>
      <c r="K28" s="3">
        <v>425</v>
      </c>
      <c r="L28" s="3">
        <v>323</v>
      </c>
      <c r="M28" s="3">
        <v>411</v>
      </c>
      <c r="N28" s="3">
        <v>365</v>
      </c>
      <c r="O28" s="3">
        <v>396</v>
      </c>
      <c r="P28" s="3">
        <v>422</v>
      </c>
      <c r="Q28" s="3">
        <v>358</v>
      </c>
      <c r="R28" s="3">
        <v>316</v>
      </c>
      <c r="S28" s="3">
        <v>401</v>
      </c>
      <c r="T28" s="3">
        <v>390</v>
      </c>
      <c r="U28" s="3">
        <v>352</v>
      </c>
      <c r="V28" s="3">
        <v>360</v>
      </c>
      <c r="W28" s="3">
        <v>365</v>
      </c>
      <c r="X28" s="3">
        <v>397</v>
      </c>
      <c r="Y28" s="3">
        <v>364</v>
      </c>
      <c r="Z28" s="3">
        <v>323</v>
      </c>
      <c r="AA28" s="3">
        <v>351</v>
      </c>
      <c r="AB28" s="3">
        <v>396</v>
      </c>
      <c r="AC28" s="3">
        <v>385</v>
      </c>
      <c r="AD28" s="3">
        <v>341</v>
      </c>
      <c r="AE28" s="3">
        <v>433</v>
      </c>
      <c r="AF28" s="3">
        <v>420</v>
      </c>
      <c r="AG28" s="3">
        <v>379</v>
      </c>
      <c r="AH28" s="3">
        <v>389</v>
      </c>
      <c r="AI28" s="3">
        <v>392</v>
      </c>
      <c r="AJ28" s="3">
        <v>428</v>
      </c>
      <c r="AK28" s="3">
        <v>393</v>
      </c>
      <c r="AL28" s="3">
        <v>349</v>
      </c>
      <c r="AM28" s="3">
        <v>377</v>
      </c>
      <c r="AN28" s="3">
        <v>425</v>
      </c>
      <c r="AO28" s="3">
        <v>413</v>
      </c>
      <c r="AP28" s="3">
        <v>366</v>
      </c>
      <c r="AQ28" s="3">
        <v>464</v>
      </c>
      <c r="AR28" s="3">
        <v>451</v>
      </c>
      <c r="AS28" s="3">
        <v>407</v>
      </c>
      <c r="AT28" s="3">
        <v>416</v>
      </c>
      <c r="AU28" s="3">
        <v>420</v>
      </c>
      <c r="AV28" s="3">
        <v>460</v>
      </c>
      <c r="AW28" s="3">
        <v>421</v>
      </c>
      <c r="AX28" s="3">
        <v>373</v>
      </c>
      <c r="AY28" s="3">
        <v>408</v>
      </c>
      <c r="AZ28" s="3">
        <v>464</v>
      </c>
      <c r="BA28" s="3">
        <v>447</v>
      </c>
      <c r="BB28" s="3">
        <v>396</v>
      </c>
      <c r="BC28" s="3">
        <v>502</v>
      </c>
      <c r="BD28" s="3">
        <v>488</v>
      </c>
      <c r="BE28" s="3">
        <v>439</v>
      </c>
      <c r="BF28" s="3">
        <v>452</v>
      </c>
      <c r="BG28" s="3">
        <v>455</v>
      </c>
      <c r="BH28" s="3">
        <v>497</v>
      </c>
      <c r="BI28" s="3">
        <v>455</v>
      </c>
      <c r="BJ28" s="3">
        <v>411</v>
      </c>
      <c r="BK28" s="3">
        <v>522</v>
      </c>
      <c r="BL28" s="3">
        <v>771</v>
      </c>
      <c r="BM28" s="3">
        <v>464.875</v>
      </c>
      <c r="BN28" s="3">
        <v>464.875</v>
      </c>
      <c r="BO28" s="8">
        <f t="shared" si="3"/>
        <v>23773.700302999998</v>
      </c>
      <c r="BP28" s="8"/>
    </row>
    <row r="29" spans="1:68" x14ac:dyDescent="0.25">
      <c r="A29" s="2" t="s">
        <v>93</v>
      </c>
      <c r="B29" s="2" t="s">
        <v>68</v>
      </c>
      <c r="C29" s="26">
        <v>6247.4258420000006</v>
      </c>
      <c r="D29" s="26">
        <v>0</v>
      </c>
      <c r="E29" s="26">
        <v>0</v>
      </c>
      <c r="F29" s="26">
        <v>0</v>
      </c>
      <c r="G29" s="26">
        <v>0</v>
      </c>
      <c r="H29" s="3">
        <v>982.879456</v>
      </c>
      <c r="I29" s="3">
        <v>2807.318115</v>
      </c>
      <c r="J29" s="3">
        <v>2457.2282709999999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8">
        <f t="shared" si="3"/>
        <v>6247.4258420000006</v>
      </c>
      <c r="BP29" s="8"/>
    </row>
    <row r="30" spans="1:68" x14ac:dyDescent="0.25">
      <c r="A30" s="2" t="s">
        <v>94</v>
      </c>
      <c r="B30" s="2" t="s">
        <v>68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8">
        <f t="shared" si="3"/>
        <v>0</v>
      </c>
      <c r="BP30" s="8"/>
    </row>
    <row r="31" spans="1:68" x14ac:dyDescent="0.25">
      <c r="A31" s="2" t="s">
        <v>95</v>
      </c>
      <c r="B31" s="2" t="s">
        <v>68</v>
      </c>
      <c r="C31" s="26">
        <v>288075.882813</v>
      </c>
      <c r="D31" s="26">
        <v>326555</v>
      </c>
      <c r="E31" s="26">
        <v>342095</v>
      </c>
      <c r="F31" s="26">
        <v>360023</v>
      </c>
      <c r="G31" s="26">
        <v>380860.25</v>
      </c>
      <c r="H31" s="3">
        <v>35770.390625</v>
      </c>
      <c r="I31" s="3">
        <v>42466.046875</v>
      </c>
      <c r="J31" s="3">
        <v>35354.445312999997</v>
      </c>
      <c r="K31" s="3">
        <v>21284</v>
      </c>
      <c r="L31" s="3">
        <v>13934</v>
      </c>
      <c r="M31" s="3">
        <v>23171</v>
      </c>
      <c r="N31" s="3">
        <v>23508</v>
      </c>
      <c r="O31" s="3">
        <v>23891</v>
      </c>
      <c r="P31" s="3">
        <v>22797</v>
      </c>
      <c r="Q31" s="3">
        <v>23158</v>
      </c>
      <c r="R31" s="3">
        <v>22742</v>
      </c>
      <c r="S31" s="3">
        <v>27835</v>
      </c>
      <c r="T31" s="3">
        <v>27568</v>
      </c>
      <c r="U31" s="3">
        <v>24804</v>
      </c>
      <c r="V31" s="3">
        <v>26653</v>
      </c>
      <c r="W31" s="3">
        <v>26560</v>
      </c>
      <c r="X31" s="3">
        <v>29468</v>
      </c>
      <c r="Y31" s="3">
        <v>28679</v>
      </c>
      <c r="Z31" s="3">
        <v>27692</v>
      </c>
      <c r="AA31" s="3">
        <v>29657</v>
      </c>
      <c r="AB31" s="3">
        <v>28496</v>
      </c>
      <c r="AC31" s="3">
        <v>25340</v>
      </c>
      <c r="AD31" s="3">
        <v>23803</v>
      </c>
      <c r="AE31" s="3">
        <v>29177</v>
      </c>
      <c r="AF31" s="3">
        <v>28870</v>
      </c>
      <c r="AG31" s="3">
        <v>25987</v>
      </c>
      <c r="AH31" s="3">
        <v>27883</v>
      </c>
      <c r="AI31" s="3">
        <v>27797</v>
      </c>
      <c r="AJ31" s="3">
        <v>30823</v>
      </c>
      <c r="AK31" s="3">
        <v>29961</v>
      </c>
      <c r="AL31" s="3">
        <v>28913</v>
      </c>
      <c r="AM31" s="3">
        <v>31082</v>
      </c>
      <c r="AN31" s="3">
        <v>30018</v>
      </c>
      <c r="AO31" s="3">
        <v>26612</v>
      </c>
      <c r="AP31" s="3">
        <v>24972</v>
      </c>
      <c r="AQ31" s="3">
        <v>30636</v>
      </c>
      <c r="AR31" s="3">
        <v>30294</v>
      </c>
      <c r="AS31" s="3">
        <v>27275</v>
      </c>
      <c r="AT31" s="3">
        <v>29244</v>
      </c>
      <c r="AU31" s="3">
        <v>29158</v>
      </c>
      <c r="AV31" s="3">
        <v>32324</v>
      </c>
      <c r="AW31" s="3">
        <v>31404</v>
      </c>
      <c r="AX31" s="3">
        <v>30304</v>
      </c>
      <c r="AY31" s="3">
        <v>32720</v>
      </c>
      <c r="AZ31" s="3">
        <v>31912</v>
      </c>
      <c r="BA31" s="3">
        <v>28262</v>
      </c>
      <c r="BB31" s="3">
        <v>26490</v>
      </c>
      <c r="BC31" s="3">
        <v>32523</v>
      </c>
      <c r="BD31" s="3">
        <v>32142</v>
      </c>
      <c r="BE31" s="3">
        <v>28948</v>
      </c>
      <c r="BF31" s="3">
        <v>31013</v>
      </c>
      <c r="BG31" s="3">
        <v>30927</v>
      </c>
      <c r="BH31" s="3">
        <v>34262</v>
      </c>
      <c r="BI31" s="3">
        <v>33081</v>
      </c>
      <c r="BJ31" s="3">
        <v>30659</v>
      </c>
      <c r="BK31" s="3">
        <v>31337</v>
      </c>
      <c r="BL31" s="3">
        <v>32876</v>
      </c>
      <c r="BM31" s="3">
        <v>31546.125</v>
      </c>
      <c r="BN31" s="3">
        <v>31546.125</v>
      </c>
      <c r="BO31" s="8">
        <f t="shared" si="3"/>
        <v>1697609.1328130001</v>
      </c>
      <c r="BP31" s="8"/>
    </row>
    <row r="32" spans="1:68" x14ac:dyDescent="0.25">
      <c r="A32" s="2" t="s">
        <v>96</v>
      </c>
      <c r="B32" s="2" t="s">
        <v>68</v>
      </c>
      <c r="C32" s="26">
        <v>3386.696289</v>
      </c>
      <c r="D32" s="26">
        <v>3474</v>
      </c>
      <c r="E32" s="26">
        <v>3599</v>
      </c>
      <c r="F32" s="26">
        <v>3761</v>
      </c>
      <c r="G32" s="26">
        <v>3759.25</v>
      </c>
      <c r="H32" s="3">
        <v>588.69628899999998</v>
      </c>
      <c r="I32" s="3">
        <v>720</v>
      </c>
      <c r="J32" s="3">
        <v>600</v>
      </c>
      <c r="K32" s="3">
        <v>192</v>
      </c>
      <c r="L32" s="3">
        <v>153</v>
      </c>
      <c r="M32" s="3">
        <v>183</v>
      </c>
      <c r="N32" s="3">
        <v>185</v>
      </c>
      <c r="O32" s="3">
        <v>187</v>
      </c>
      <c r="P32" s="3">
        <v>189</v>
      </c>
      <c r="Q32" s="3">
        <v>193</v>
      </c>
      <c r="R32" s="3">
        <v>196</v>
      </c>
      <c r="S32" s="3">
        <v>312</v>
      </c>
      <c r="T32" s="3">
        <v>304</v>
      </c>
      <c r="U32" s="3">
        <v>269</v>
      </c>
      <c r="V32" s="3">
        <v>310</v>
      </c>
      <c r="W32" s="3">
        <v>288</v>
      </c>
      <c r="X32" s="3">
        <v>287</v>
      </c>
      <c r="Y32" s="3">
        <v>278</v>
      </c>
      <c r="Z32" s="3">
        <v>273</v>
      </c>
      <c r="AA32" s="3">
        <v>280</v>
      </c>
      <c r="AB32" s="3">
        <v>291</v>
      </c>
      <c r="AC32" s="3">
        <v>302</v>
      </c>
      <c r="AD32" s="3">
        <v>280</v>
      </c>
      <c r="AE32" s="3">
        <v>322</v>
      </c>
      <c r="AF32" s="3">
        <v>314</v>
      </c>
      <c r="AG32" s="3">
        <v>280</v>
      </c>
      <c r="AH32" s="3">
        <v>321</v>
      </c>
      <c r="AI32" s="3">
        <v>299</v>
      </c>
      <c r="AJ32" s="3">
        <v>298</v>
      </c>
      <c r="AK32" s="3">
        <v>289</v>
      </c>
      <c r="AL32" s="3">
        <v>284</v>
      </c>
      <c r="AM32" s="3">
        <v>288</v>
      </c>
      <c r="AN32" s="3">
        <v>302</v>
      </c>
      <c r="AO32" s="3">
        <v>313</v>
      </c>
      <c r="AP32" s="3">
        <v>289</v>
      </c>
      <c r="AQ32" s="3">
        <v>334</v>
      </c>
      <c r="AR32" s="3">
        <v>326</v>
      </c>
      <c r="AS32" s="3">
        <v>289</v>
      </c>
      <c r="AT32" s="3">
        <v>335</v>
      </c>
      <c r="AU32" s="3">
        <v>308</v>
      </c>
      <c r="AV32" s="3">
        <v>308</v>
      </c>
      <c r="AW32" s="3">
        <v>300</v>
      </c>
      <c r="AX32" s="3">
        <v>298</v>
      </c>
      <c r="AY32" s="3">
        <v>306</v>
      </c>
      <c r="AZ32" s="3">
        <v>320</v>
      </c>
      <c r="BA32" s="3">
        <v>332</v>
      </c>
      <c r="BB32" s="3">
        <v>305</v>
      </c>
      <c r="BC32" s="3">
        <v>355</v>
      </c>
      <c r="BD32" s="3">
        <v>345</v>
      </c>
      <c r="BE32" s="3">
        <v>306</v>
      </c>
      <c r="BF32" s="3">
        <v>352</v>
      </c>
      <c r="BG32" s="3">
        <v>328</v>
      </c>
      <c r="BH32" s="3">
        <v>326</v>
      </c>
      <c r="BI32" s="3">
        <v>309</v>
      </c>
      <c r="BJ32" s="3">
        <v>282</v>
      </c>
      <c r="BK32" s="3">
        <v>261</v>
      </c>
      <c r="BL32" s="3">
        <v>268</v>
      </c>
      <c r="BM32" s="3">
        <v>313.625</v>
      </c>
      <c r="BN32" s="3">
        <v>313.625</v>
      </c>
      <c r="BO32" s="8">
        <f t="shared" si="3"/>
        <v>17979.946289</v>
      </c>
      <c r="BP32" s="8"/>
    </row>
    <row r="33" spans="1:68" x14ac:dyDescent="0.25">
      <c r="A33" s="2" t="s">
        <v>97</v>
      </c>
      <c r="B33" s="2" t="s">
        <v>68</v>
      </c>
      <c r="C33" s="26">
        <v>51478.550780999998</v>
      </c>
      <c r="D33" s="26">
        <v>57677</v>
      </c>
      <c r="E33" s="26">
        <v>59590</v>
      </c>
      <c r="F33" s="26">
        <v>61752</v>
      </c>
      <c r="G33" s="26">
        <v>63232.5</v>
      </c>
      <c r="H33" s="3">
        <v>6467.5507809999999</v>
      </c>
      <c r="I33" s="3">
        <v>8160</v>
      </c>
      <c r="J33" s="3">
        <v>6800</v>
      </c>
      <c r="K33" s="3">
        <v>3872</v>
      </c>
      <c r="L33" s="3">
        <v>1460</v>
      </c>
      <c r="M33" s="3">
        <v>3655</v>
      </c>
      <c r="N33" s="3">
        <v>3840</v>
      </c>
      <c r="O33" s="3">
        <v>3855</v>
      </c>
      <c r="P33" s="3">
        <v>4119</v>
      </c>
      <c r="Q33" s="3">
        <v>4826</v>
      </c>
      <c r="R33" s="3">
        <v>4424</v>
      </c>
      <c r="S33" s="3">
        <v>5046</v>
      </c>
      <c r="T33" s="3">
        <v>5080</v>
      </c>
      <c r="U33" s="3">
        <v>4512</v>
      </c>
      <c r="V33" s="3">
        <v>5040</v>
      </c>
      <c r="W33" s="3">
        <v>4784</v>
      </c>
      <c r="X33" s="3">
        <v>4892</v>
      </c>
      <c r="Y33" s="3">
        <v>4587</v>
      </c>
      <c r="Z33" s="3">
        <v>4466</v>
      </c>
      <c r="AA33" s="3">
        <v>4695</v>
      </c>
      <c r="AB33" s="3">
        <v>4966</v>
      </c>
      <c r="AC33" s="3">
        <v>5013</v>
      </c>
      <c r="AD33" s="3">
        <v>4596</v>
      </c>
      <c r="AE33" s="3">
        <v>5238</v>
      </c>
      <c r="AF33" s="3">
        <v>5273</v>
      </c>
      <c r="AG33" s="3">
        <v>4682</v>
      </c>
      <c r="AH33" s="3">
        <v>5232</v>
      </c>
      <c r="AI33" s="3">
        <v>4960</v>
      </c>
      <c r="AJ33" s="3">
        <v>5071</v>
      </c>
      <c r="AK33" s="3">
        <v>4763</v>
      </c>
      <c r="AL33" s="3">
        <v>4610</v>
      </c>
      <c r="AM33" s="3">
        <v>4802</v>
      </c>
      <c r="AN33" s="3">
        <v>5084</v>
      </c>
      <c r="AO33" s="3">
        <v>5150</v>
      </c>
      <c r="AP33" s="3">
        <v>4725</v>
      </c>
      <c r="AQ33" s="3">
        <v>5386</v>
      </c>
      <c r="AR33" s="3">
        <v>5421</v>
      </c>
      <c r="AS33" s="3">
        <v>4814</v>
      </c>
      <c r="AT33" s="3">
        <v>5380</v>
      </c>
      <c r="AU33" s="3">
        <v>5096</v>
      </c>
      <c r="AV33" s="3">
        <v>5216</v>
      </c>
      <c r="AW33" s="3">
        <v>4912</v>
      </c>
      <c r="AX33" s="3">
        <v>4792</v>
      </c>
      <c r="AY33" s="3">
        <v>5044</v>
      </c>
      <c r="AZ33" s="3">
        <v>5347</v>
      </c>
      <c r="BA33" s="3">
        <v>5395</v>
      </c>
      <c r="BB33" s="3">
        <v>4949</v>
      </c>
      <c r="BC33" s="3">
        <v>5639</v>
      </c>
      <c r="BD33" s="3">
        <v>5673</v>
      </c>
      <c r="BE33" s="3">
        <v>5039</v>
      </c>
      <c r="BF33" s="3">
        <v>5629</v>
      </c>
      <c r="BG33" s="3">
        <v>5331</v>
      </c>
      <c r="BH33" s="3">
        <v>5454</v>
      </c>
      <c r="BI33" s="3">
        <v>5140</v>
      </c>
      <c r="BJ33" s="3">
        <v>4862</v>
      </c>
      <c r="BK33" s="3">
        <v>4882</v>
      </c>
      <c r="BL33" s="3">
        <v>5081</v>
      </c>
      <c r="BM33" s="3">
        <v>5251.25</v>
      </c>
      <c r="BN33" s="3">
        <v>5251.25</v>
      </c>
      <c r="BO33" s="8">
        <f t="shared" si="3"/>
        <v>293730.050781</v>
      </c>
      <c r="BP33" s="8"/>
    </row>
    <row r="34" spans="1:68" x14ac:dyDescent="0.25">
      <c r="A34" s="2" t="s">
        <v>98</v>
      </c>
      <c r="B34" s="2" t="s">
        <v>68</v>
      </c>
      <c r="C34" s="26">
        <v>65208</v>
      </c>
      <c r="D34" s="26">
        <v>75010</v>
      </c>
      <c r="E34" s="26">
        <v>76158</v>
      </c>
      <c r="F34" s="26">
        <v>82135</v>
      </c>
      <c r="G34" s="26">
        <v>89737</v>
      </c>
      <c r="H34" s="3">
        <v>6000</v>
      </c>
      <c r="I34" s="3">
        <v>7200</v>
      </c>
      <c r="J34" s="3">
        <v>6000</v>
      </c>
      <c r="K34" s="3">
        <v>4284</v>
      </c>
      <c r="L34" s="3">
        <v>6330</v>
      </c>
      <c r="M34" s="3">
        <v>6699</v>
      </c>
      <c r="N34" s="3">
        <v>6215</v>
      </c>
      <c r="O34" s="3">
        <v>6389</v>
      </c>
      <c r="P34" s="3">
        <v>5901</v>
      </c>
      <c r="Q34" s="3">
        <v>5223</v>
      </c>
      <c r="R34" s="3">
        <v>4967</v>
      </c>
      <c r="S34" s="3">
        <v>6112</v>
      </c>
      <c r="T34" s="3">
        <v>5536</v>
      </c>
      <c r="U34" s="3">
        <v>5890</v>
      </c>
      <c r="V34" s="3">
        <v>6977</v>
      </c>
      <c r="W34" s="3">
        <v>7012</v>
      </c>
      <c r="X34" s="3">
        <v>7213</v>
      </c>
      <c r="Y34" s="3">
        <v>6979</v>
      </c>
      <c r="Z34" s="3">
        <v>6443</v>
      </c>
      <c r="AA34" s="3">
        <v>6628</v>
      </c>
      <c r="AB34" s="3">
        <v>6097</v>
      </c>
      <c r="AC34" s="3">
        <v>5169</v>
      </c>
      <c r="AD34" s="3">
        <v>4954</v>
      </c>
      <c r="AE34" s="3">
        <v>6068</v>
      </c>
      <c r="AF34" s="3">
        <v>5512</v>
      </c>
      <c r="AG34" s="3">
        <v>5861</v>
      </c>
      <c r="AH34" s="3">
        <v>7024</v>
      </c>
      <c r="AI34" s="3">
        <v>7053</v>
      </c>
      <c r="AJ34" s="3">
        <v>7258</v>
      </c>
      <c r="AK34" s="3">
        <v>6988</v>
      </c>
      <c r="AL34" s="3">
        <v>6493</v>
      </c>
      <c r="AM34" s="3">
        <v>6751</v>
      </c>
      <c r="AN34" s="3">
        <v>6248</v>
      </c>
      <c r="AO34" s="3">
        <v>5551</v>
      </c>
      <c r="AP34" s="3">
        <v>5351</v>
      </c>
      <c r="AQ34" s="3">
        <v>6548</v>
      </c>
      <c r="AR34" s="3">
        <v>5945</v>
      </c>
      <c r="AS34" s="3">
        <v>6326</v>
      </c>
      <c r="AT34" s="3">
        <v>7610</v>
      </c>
      <c r="AU34" s="3">
        <v>7636</v>
      </c>
      <c r="AV34" s="3">
        <v>7858</v>
      </c>
      <c r="AW34" s="3">
        <v>7562</v>
      </c>
      <c r="AX34" s="3">
        <v>7036</v>
      </c>
      <c r="AY34" s="3">
        <v>7251</v>
      </c>
      <c r="AZ34" s="3">
        <v>6668</v>
      </c>
      <c r="BA34" s="3">
        <v>5950</v>
      </c>
      <c r="BB34" s="3">
        <v>5745</v>
      </c>
      <c r="BC34" s="3">
        <v>7071</v>
      </c>
      <c r="BD34" s="3">
        <v>6407</v>
      </c>
      <c r="BE34" s="3">
        <v>6833</v>
      </c>
      <c r="BF34" s="3">
        <v>8225</v>
      </c>
      <c r="BG34" s="3">
        <v>8255</v>
      </c>
      <c r="BH34" s="3">
        <v>8497</v>
      </c>
      <c r="BI34" s="3">
        <v>8053</v>
      </c>
      <c r="BJ34" s="3">
        <v>7336</v>
      </c>
      <c r="BK34" s="3">
        <v>7082</v>
      </c>
      <c r="BL34" s="3">
        <v>6806</v>
      </c>
      <c r="BM34" s="3">
        <v>7586</v>
      </c>
      <c r="BN34" s="3">
        <v>7586</v>
      </c>
      <c r="BO34" s="8">
        <f t="shared" si="3"/>
        <v>388248</v>
      </c>
      <c r="BP34" s="8"/>
    </row>
    <row r="35" spans="1:68" x14ac:dyDescent="0.25">
      <c r="A35" s="2" t="s">
        <v>99</v>
      </c>
      <c r="B35" s="2" t="s">
        <v>68</v>
      </c>
      <c r="C35" s="26">
        <v>457352.00097599998</v>
      </c>
      <c r="D35" s="26">
        <v>554019</v>
      </c>
      <c r="E35" s="26">
        <v>599494</v>
      </c>
      <c r="F35" s="26">
        <v>630082</v>
      </c>
      <c r="G35" s="26">
        <v>679653</v>
      </c>
      <c r="H35" s="3">
        <v>40000.000976000003</v>
      </c>
      <c r="I35" s="3">
        <v>48480</v>
      </c>
      <c r="J35" s="3">
        <v>40400</v>
      </c>
      <c r="K35" s="3">
        <v>43923</v>
      </c>
      <c r="L35" s="3">
        <v>29824</v>
      </c>
      <c r="M35" s="3">
        <v>45200</v>
      </c>
      <c r="N35" s="3">
        <v>40610</v>
      </c>
      <c r="O35" s="3">
        <v>43590</v>
      </c>
      <c r="P35" s="3">
        <v>49005</v>
      </c>
      <c r="Q35" s="3">
        <v>42891</v>
      </c>
      <c r="R35" s="3">
        <v>33429</v>
      </c>
      <c r="S35" s="3">
        <v>44901</v>
      </c>
      <c r="T35" s="3">
        <v>43437</v>
      </c>
      <c r="U35" s="3">
        <v>42081</v>
      </c>
      <c r="V35" s="3">
        <v>47014</v>
      </c>
      <c r="W35" s="3">
        <v>45695</v>
      </c>
      <c r="X35" s="3">
        <v>51602</v>
      </c>
      <c r="Y35" s="3">
        <v>50623</v>
      </c>
      <c r="Z35" s="3">
        <v>45183</v>
      </c>
      <c r="AA35" s="3">
        <v>46193</v>
      </c>
      <c r="AB35" s="3">
        <v>53659</v>
      </c>
      <c r="AC35" s="3">
        <v>46879</v>
      </c>
      <c r="AD35" s="3">
        <v>36752</v>
      </c>
      <c r="AE35" s="3">
        <v>49318</v>
      </c>
      <c r="AF35" s="3">
        <v>47672</v>
      </c>
      <c r="AG35" s="3">
        <v>46139</v>
      </c>
      <c r="AH35" s="3">
        <v>50972</v>
      </c>
      <c r="AI35" s="3">
        <v>49658</v>
      </c>
      <c r="AJ35" s="3">
        <v>56104</v>
      </c>
      <c r="AK35" s="3">
        <v>54915</v>
      </c>
      <c r="AL35" s="3">
        <v>48840</v>
      </c>
      <c r="AM35" s="3">
        <v>50041</v>
      </c>
      <c r="AN35" s="3">
        <v>58115</v>
      </c>
      <c r="AO35" s="3">
        <v>49155</v>
      </c>
      <c r="AP35" s="3">
        <v>38565</v>
      </c>
      <c r="AQ35" s="3">
        <v>51745</v>
      </c>
      <c r="AR35" s="3">
        <v>50006</v>
      </c>
      <c r="AS35" s="3">
        <v>48390</v>
      </c>
      <c r="AT35" s="3">
        <v>53358</v>
      </c>
      <c r="AU35" s="3">
        <v>52005</v>
      </c>
      <c r="AV35" s="3">
        <v>58755</v>
      </c>
      <c r="AW35" s="3">
        <v>57487</v>
      </c>
      <c r="AX35" s="3">
        <v>51092</v>
      </c>
      <c r="AY35" s="3">
        <v>52393</v>
      </c>
      <c r="AZ35" s="3">
        <v>61694</v>
      </c>
      <c r="BA35" s="3">
        <v>52098</v>
      </c>
      <c r="BB35" s="3">
        <v>41059</v>
      </c>
      <c r="BC35" s="3">
        <v>55077</v>
      </c>
      <c r="BD35" s="3">
        <v>53243</v>
      </c>
      <c r="BE35" s="3">
        <v>51565</v>
      </c>
      <c r="BF35" s="3">
        <v>56643</v>
      </c>
      <c r="BG35" s="3">
        <v>55261</v>
      </c>
      <c r="BH35" s="3">
        <v>62482</v>
      </c>
      <c r="BI35" s="3">
        <v>61149</v>
      </c>
      <c r="BJ35" s="3">
        <v>54221</v>
      </c>
      <c r="BK35" s="3">
        <v>54952</v>
      </c>
      <c r="BL35" s="3">
        <v>62681</v>
      </c>
      <c r="BM35" s="3">
        <v>56189.5</v>
      </c>
      <c r="BN35" s="3">
        <v>56189.5</v>
      </c>
      <c r="BO35" s="8">
        <f t="shared" si="3"/>
        <v>2920600.000976</v>
      </c>
      <c r="BP35" s="8"/>
    </row>
    <row r="36" spans="1:68" x14ac:dyDescent="0.25">
      <c r="A36" s="2" t="s">
        <v>100</v>
      </c>
      <c r="B36" s="2" t="s">
        <v>68</v>
      </c>
      <c r="C36" s="26">
        <v>0</v>
      </c>
      <c r="D36" s="26">
        <v>0</v>
      </c>
      <c r="E36" s="26">
        <v>0</v>
      </c>
      <c r="F36" s="26">
        <v>0</v>
      </c>
      <c r="G36" s="26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8">
        <f t="shared" si="3"/>
        <v>0</v>
      </c>
      <c r="BP36" s="8"/>
    </row>
    <row r="37" spans="1:68" x14ac:dyDescent="0.25">
      <c r="A37" s="2" t="s">
        <v>101</v>
      </c>
      <c r="B37" s="2" t="s">
        <v>68</v>
      </c>
      <c r="C37" s="26">
        <v>2777117</v>
      </c>
      <c r="D37" s="26">
        <v>3239102</v>
      </c>
      <c r="E37" s="26">
        <v>3299183</v>
      </c>
      <c r="F37" s="26">
        <v>3321473</v>
      </c>
      <c r="G37" s="26">
        <v>3551499</v>
      </c>
      <c r="H37" s="3">
        <v>272655.75</v>
      </c>
      <c r="I37" s="3">
        <v>347864.875</v>
      </c>
      <c r="J37" s="3">
        <v>289887.375</v>
      </c>
      <c r="K37" s="3">
        <v>213242</v>
      </c>
      <c r="L37" s="3">
        <v>142365</v>
      </c>
      <c r="M37" s="3">
        <v>259108</v>
      </c>
      <c r="N37" s="3">
        <v>262748</v>
      </c>
      <c r="O37" s="3">
        <v>267131</v>
      </c>
      <c r="P37" s="3">
        <v>261281</v>
      </c>
      <c r="Q37" s="3">
        <v>235563</v>
      </c>
      <c r="R37" s="3">
        <v>225271</v>
      </c>
      <c r="S37" s="3">
        <v>267417</v>
      </c>
      <c r="T37" s="3">
        <v>262765</v>
      </c>
      <c r="U37" s="3">
        <v>249965</v>
      </c>
      <c r="V37" s="3">
        <v>273900</v>
      </c>
      <c r="W37" s="3">
        <v>286162</v>
      </c>
      <c r="X37" s="3">
        <v>321354</v>
      </c>
      <c r="Y37" s="3">
        <v>296819</v>
      </c>
      <c r="Z37" s="3">
        <v>268018</v>
      </c>
      <c r="AA37" s="3">
        <v>273239</v>
      </c>
      <c r="AB37" s="3">
        <v>268199</v>
      </c>
      <c r="AC37" s="3">
        <v>240946</v>
      </c>
      <c r="AD37" s="3">
        <v>230318</v>
      </c>
      <c r="AE37" s="3">
        <v>273429</v>
      </c>
      <c r="AF37" s="3">
        <v>268682</v>
      </c>
      <c r="AG37" s="3">
        <v>255680</v>
      </c>
      <c r="AH37" s="3">
        <v>280032</v>
      </c>
      <c r="AI37" s="3">
        <v>292479</v>
      </c>
      <c r="AJ37" s="3">
        <v>328390</v>
      </c>
      <c r="AK37" s="3">
        <v>303409</v>
      </c>
      <c r="AL37" s="3">
        <v>273817</v>
      </c>
      <c r="AM37" s="3">
        <v>277909</v>
      </c>
      <c r="AN37" s="3">
        <v>270924</v>
      </c>
      <c r="AO37" s="3">
        <v>242486</v>
      </c>
      <c r="AP37" s="3">
        <v>231946</v>
      </c>
      <c r="AQ37" s="3">
        <v>276074</v>
      </c>
      <c r="AR37" s="3">
        <v>270915</v>
      </c>
      <c r="AS37" s="3">
        <v>258298</v>
      </c>
      <c r="AT37" s="3">
        <v>282630</v>
      </c>
      <c r="AU37" s="3">
        <v>296002</v>
      </c>
      <c r="AV37" s="3">
        <v>333041</v>
      </c>
      <c r="AW37" s="3">
        <v>307502</v>
      </c>
      <c r="AX37" s="3">
        <v>277173</v>
      </c>
      <c r="AY37" s="3">
        <v>279507</v>
      </c>
      <c r="AZ37" s="3">
        <v>270460</v>
      </c>
      <c r="BA37" s="3">
        <v>239963</v>
      </c>
      <c r="BB37" s="3">
        <v>229908</v>
      </c>
      <c r="BC37" s="3">
        <v>275018</v>
      </c>
      <c r="BD37" s="3">
        <v>269247</v>
      </c>
      <c r="BE37" s="3">
        <v>258031</v>
      </c>
      <c r="BF37" s="3">
        <v>281553</v>
      </c>
      <c r="BG37" s="3">
        <v>296398</v>
      </c>
      <c r="BH37" s="3">
        <v>335247</v>
      </c>
      <c r="BI37" s="3">
        <v>318415</v>
      </c>
      <c r="BJ37" s="3">
        <v>300240</v>
      </c>
      <c r="BK37" s="3">
        <v>307169</v>
      </c>
      <c r="BL37" s="3">
        <v>318606</v>
      </c>
      <c r="BM37" s="3">
        <v>295787.5</v>
      </c>
      <c r="BN37" s="3">
        <v>295787.5</v>
      </c>
      <c r="BO37" s="8">
        <f t="shared" si="3"/>
        <v>16188374</v>
      </c>
      <c r="BP37" s="8"/>
    </row>
    <row r="38" spans="1:68" x14ac:dyDescent="0.25">
      <c r="A38" s="2" t="s">
        <v>102</v>
      </c>
      <c r="B38" s="2" t="s">
        <v>68</v>
      </c>
      <c r="C38" s="26">
        <v>46028.347169000001</v>
      </c>
      <c r="D38" s="26">
        <v>11640</v>
      </c>
      <c r="E38" s="26">
        <v>12455</v>
      </c>
      <c r="F38" s="26">
        <v>13304</v>
      </c>
      <c r="G38" s="26">
        <v>24219.25</v>
      </c>
      <c r="H38" s="3">
        <v>7883.3085940000001</v>
      </c>
      <c r="I38" s="3">
        <v>8516.9609380000002</v>
      </c>
      <c r="J38" s="3">
        <v>7195.0776370000003</v>
      </c>
      <c r="K38" s="3">
        <v>4588</v>
      </c>
      <c r="L38" s="3">
        <v>2121</v>
      </c>
      <c r="M38" s="3">
        <v>4792</v>
      </c>
      <c r="N38" s="3">
        <v>4971</v>
      </c>
      <c r="O38" s="3">
        <v>2867</v>
      </c>
      <c r="P38" s="3">
        <v>999</v>
      </c>
      <c r="Q38" s="3">
        <v>1102</v>
      </c>
      <c r="R38" s="3">
        <v>993</v>
      </c>
      <c r="S38" s="3">
        <v>1111</v>
      </c>
      <c r="T38" s="3">
        <v>994</v>
      </c>
      <c r="U38" s="3">
        <v>822</v>
      </c>
      <c r="V38" s="3">
        <v>1024</v>
      </c>
      <c r="W38" s="3">
        <v>918</v>
      </c>
      <c r="X38" s="3">
        <v>951</v>
      </c>
      <c r="Y38" s="3">
        <v>885</v>
      </c>
      <c r="Z38" s="3">
        <v>805</v>
      </c>
      <c r="AA38" s="3">
        <v>858</v>
      </c>
      <c r="AB38" s="3">
        <v>1028</v>
      </c>
      <c r="AC38" s="3">
        <v>1181</v>
      </c>
      <c r="AD38" s="3">
        <v>1063</v>
      </c>
      <c r="AE38" s="3">
        <v>1191</v>
      </c>
      <c r="AF38" s="3">
        <v>1063</v>
      </c>
      <c r="AG38" s="3">
        <v>880</v>
      </c>
      <c r="AH38" s="3">
        <v>1097</v>
      </c>
      <c r="AI38" s="3">
        <v>983</v>
      </c>
      <c r="AJ38" s="3">
        <v>1018</v>
      </c>
      <c r="AK38" s="3">
        <v>948</v>
      </c>
      <c r="AL38" s="3">
        <v>862</v>
      </c>
      <c r="AM38" s="3">
        <v>918</v>
      </c>
      <c r="AN38" s="3">
        <v>1099</v>
      </c>
      <c r="AO38" s="3">
        <v>1261</v>
      </c>
      <c r="AP38" s="3">
        <v>1135</v>
      </c>
      <c r="AQ38" s="3">
        <v>1269</v>
      </c>
      <c r="AR38" s="3">
        <v>1135</v>
      </c>
      <c r="AS38" s="3">
        <v>940</v>
      </c>
      <c r="AT38" s="3">
        <v>1170</v>
      </c>
      <c r="AU38" s="3">
        <v>1049</v>
      </c>
      <c r="AV38" s="3">
        <v>1086</v>
      </c>
      <c r="AW38" s="3">
        <v>1012</v>
      </c>
      <c r="AX38" s="3">
        <v>919</v>
      </c>
      <c r="AY38" s="3">
        <v>980</v>
      </c>
      <c r="AZ38" s="3">
        <v>1176</v>
      </c>
      <c r="BA38" s="3">
        <v>1351</v>
      </c>
      <c r="BB38" s="3">
        <v>1217</v>
      </c>
      <c r="BC38" s="3">
        <v>1361</v>
      </c>
      <c r="BD38" s="3">
        <v>1217</v>
      </c>
      <c r="BE38" s="3">
        <v>1007</v>
      </c>
      <c r="BF38" s="3">
        <v>1254</v>
      </c>
      <c r="BG38" s="3">
        <v>1125</v>
      </c>
      <c r="BH38" s="3">
        <v>1165</v>
      </c>
      <c r="BI38" s="3">
        <v>1025</v>
      </c>
      <c r="BJ38" s="3">
        <v>1784</v>
      </c>
      <c r="BK38" s="3">
        <v>4220</v>
      </c>
      <c r="BL38" s="3">
        <v>6862</v>
      </c>
      <c r="BM38" s="3">
        <v>1599.625</v>
      </c>
      <c r="BN38" s="3">
        <v>1599.625</v>
      </c>
      <c r="BO38" s="8">
        <f t="shared" si="3"/>
        <v>107646.597169</v>
      </c>
      <c r="BP38" s="8"/>
    </row>
    <row r="39" spans="1:68" x14ac:dyDescent="0.25">
      <c r="A39" s="2" t="s">
        <v>103</v>
      </c>
      <c r="B39" s="2" t="s">
        <v>68</v>
      </c>
      <c r="C39" s="26">
        <v>4692257</v>
      </c>
      <c r="D39" s="26">
        <v>5434562</v>
      </c>
      <c r="E39" s="26">
        <v>6096962</v>
      </c>
      <c r="F39" s="26">
        <v>6840852</v>
      </c>
      <c r="G39" s="26">
        <v>7544905.5</v>
      </c>
      <c r="H39" s="3">
        <v>425250</v>
      </c>
      <c r="I39" s="3">
        <v>504000</v>
      </c>
      <c r="J39" s="3">
        <v>420000</v>
      </c>
      <c r="K39" s="3">
        <v>490443</v>
      </c>
      <c r="L39" s="3">
        <v>441110</v>
      </c>
      <c r="M39" s="3">
        <v>434547</v>
      </c>
      <c r="N39" s="3">
        <v>414129</v>
      </c>
      <c r="O39" s="3">
        <v>410388</v>
      </c>
      <c r="P39" s="3">
        <v>391390</v>
      </c>
      <c r="Q39" s="3">
        <v>395135</v>
      </c>
      <c r="R39" s="3">
        <v>365865</v>
      </c>
      <c r="S39" s="3">
        <v>434544</v>
      </c>
      <c r="T39" s="3">
        <v>499809</v>
      </c>
      <c r="U39" s="3">
        <v>466382</v>
      </c>
      <c r="V39" s="3">
        <v>447917</v>
      </c>
      <c r="W39" s="3">
        <v>435548</v>
      </c>
      <c r="X39" s="3">
        <v>476535</v>
      </c>
      <c r="Y39" s="3">
        <v>472977</v>
      </c>
      <c r="Z39" s="3">
        <v>447950</v>
      </c>
      <c r="AA39" s="3">
        <v>455025</v>
      </c>
      <c r="AB39" s="3">
        <v>438996</v>
      </c>
      <c r="AC39" s="3">
        <v>445982</v>
      </c>
      <c r="AD39" s="3">
        <v>412897</v>
      </c>
      <c r="AE39" s="3">
        <v>490876</v>
      </c>
      <c r="AF39" s="3">
        <v>564433</v>
      </c>
      <c r="AG39" s="3">
        <v>521847</v>
      </c>
      <c r="AH39" s="3">
        <v>497228</v>
      </c>
      <c r="AI39" s="3">
        <v>484082</v>
      </c>
      <c r="AJ39" s="3">
        <v>530482</v>
      </c>
      <c r="AK39" s="3">
        <v>527062</v>
      </c>
      <c r="AL39" s="3">
        <v>499446</v>
      </c>
      <c r="AM39" s="3">
        <v>510308</v>
      </c>
      <c r="AN39" s="3">
        <v>496225</v>
      </c>
      <c r="AO39" s="3">
        <v>506261</v>
      </c>
      <c r="AP39" s="3">
        <v>468712</v>
      </c>
      <c r="AQ39" s="3">
        <v>557595</v>
      </c>
      <c r="AR39" s="3">
        <v>641149</v>
      </c>
      <c r="AS39" s="3">
        <v>588142</v>
      </c>
      <c r="AT39" s="3">
        <v>556544</v>
      </c>
      <c r="AU39" s="3">
        <v>542347</v>
      </c>
      <c r="AV39" s="3">
        <v>595164</v>
      </c>
      <c r="AW39" s="3">
        <v>592224</v>
      </c>
      <c r="AX39" s="3">
        <v>565427</v>
      </c>
      <c r="AY39" s="3">
        <v>567356</v>
      </c>
      <c r="AZ39" s="3">
        <v>551251</v>
      </c>
      <c r="BA39" s="3">
        <v>562498</v>
      </c>
      <c r="BB39" s="3">
        <v>521155</v>
      </c>
      <c r="BC39" s="3">
        <v>619412</v>
      </c>
      <c r="BD39" s="3">
        <v>713133</v>
      </c>
      <c r="BE39" s="3">
        <v>655035</v>
      </c>
      <c r="BF39" s="3">
        <v>620422</v>
      </c>
      <c r="BG39" s="3">
        <v>604259</v>
      </c>
      <c r="BH39" s="3">
        <v>662615</v>
      </c>
      <c r="BI39" s="3">
        <v>644924</v>
      </c>
      <c r="BJ39" s="3">
        <v>627794</v>
      </c>
      <c r="BK39" s="3">
        <v>572476</v>
      </c>
      <c r="BL39" s="3">
        <v>549671</v>
      </c>
      <c r="BM39" s="3">
        <v>637582.25</v>
      </c>
      <c r="BN39" s="3">
        <v>637582.25</v>
      </c>
      <c r="BO39" s="8">
        <f t="shared" si="3"/>
        <v>30609538.5</v>
      </c>
      <c r="BP39" s="8"/>
    </row>
    <row r="40" spans="1:68" x14ac:dyDescent="0.25">
      <c r="A40" s="2" t="s">
        <v>104</v>
      </c>
      <c r="B40" s="2" t="s">
        <v>68</v>
      </c>
      <c r="C40" s="26">
        <v>157593.00000100001</v>
      </c>
      <c r="D40" s="26">
        <v>22413</v>
      </c>
      <c r="E40" s="26">
        <v>24446</v>
      </c>
      <c r="F40" s="26">
        <v>26141</v>
      </c>
      <c r="G40" s="26">
        <v>55895</v>
      </c>
      <c r="H40" s="3">
        <v>21541.398438</v>
      </c>
      <c r="I40" s="3">
        <v>25542.451172000001</v>
      </c>
      <c r="J40" s="3">
        <v>21324.150390999999</v>
      </c>
      <c r="K40" s="3">
        <v>24848</v>
      </c>
      <c r="L40" s="3">
        <v>18726</v>
      </c>
      <c r="M40" s="3">
        <v>18505</v>
      </c>
      <c r="N40" s="3">
        <v>14542</v>
      </c>
      <c r="O40" s="3">
        <v>6980</v>
      </c>
      <c r="P40" s="3">
        <v>2185</v>
      </c>
      <c r="Q40" s="3">
        <v>1820</v>
      </c>
      <c r="R40" s="3">
        <v>1579</v>
      </c>
      <c r="S40" s="3">
        <v>2025</v>
      </c>
      <c r="T40" s="3">
        <v>1971</v>
      </c>
      <c r="U40" s="3">
        <v>1791</v>
      </c>
      <c r="V40" s="3">
        <v>1811</v>
      </c>
      <c r="W40" s="3">
        <v>1823</v>
      </c>
      <c r="X40" s="3">
        <v>2015</v>
      </c>
      <c r="Y40" s="3">
        <v>1857</v>
      </c>
      <c r="Z40" s="3">
        <v>1625</v>
      </c>
      <c r="AA40" s="3">
        <v>1753</v>
      </c>
      <c r="AB40" s="3">
        <v>2017</v>
      </c>
      <c r="AC40" s="3">
        <v>1994</v>
      </c>
      <c r="AD40" s="3">
        <v>1731</v>
      </c>
      <c r="AE40" s="3">
        <v>2220</v>
      </c>
      <c r="AF40" s="3">
        <v>2160</v>
      </c>
      <c r="AG40" s="3">
        <v>1964</v>
      </c>
      <c r="AH40" s="3">
        <v>1984</v>
      </c>
      <c r="AI40" s="3">
        <v>2000</v>
      </c>
      <c r="AJ40" s="3">
        <v>2208</v>
      </c>
      <c r="AK40" s="3">
        <v>2037</v>
      </c>
      <c r="AL40" s="3">
        <v>1780</v>
      </c>
      <c r="AM40" s="3">
        <v>1922</v>
      </c>
      <c r="AN40" s="3">
        <v>2196</v>
      </c>
      <c r="AO40" s="3">
        <v>2127</v>
      </c>
      <c r="AP40" s="3">
        <v>1848</v>
      </c>
      <c r="AQ40" s="3">
        <v>2369</v>
      </c>
      <c r="AR40" s="3">
        <v>2305</v>
      </c>
      <c r="AS40" s="3">
        <v>2096</v>
      </c>
      <c r="AT40" s="3">
        <v>2118</v>
      </c>
      <c r="AU40" s="3">
        <v>2133</v>
      </c>
      <c r="AV40" s="3">
        <v>2357</v>
      </c>
      <c r="AW40" s="3">
        <v>2172</v>
      </c>
      <c r="AX40" s="3">
        <v>1902</v>
      </c>
      <c r="AY40" s="3">
        <v>2060</v>
      </c>
      <c r="AZ40" s="3">
        <v>2378</v>
      </c>
      <c r="BA40" s="3">
        <v>2276</v>
      </c>
      <c r="BB40" s="3">
        <v>1975</v>
      </c>
      <c r="BC40" s="3">
        <v>2535</v>
      </c>
      <c r="BD40" s="3">
        <v>2465</v>
      </c>
      <c r="BE40" s="3">
        <v>2241</v>
      </c>
      <c r="BF40" s="3">
        <v>2265</v>
      </c>
      <c r="BG40" s="3">
        <v>2281</v>
      </c>
      <c r="BH40" s="3">
        <v>2521</v>
      </c>
      <c r="BI40" s="3">
        <v>2324</v>
      </c>
      <c r="BJ40" s="3">
        <v>4487</v>
      </c>
      <c r="BK40" s="3">
        <v>10956</v>
      </c>
      <c r="BL40" s="3">
        <v>16435</v>
      </c>
      <c r="BM40" s="3">
        <v>3692.5</v>
      </c>
      <c r="BN40" s="3">
        <v>3692.5</v>
      </c>
      <c r="BO40" s="8">
        <f t="shared" si="3"/>
        <v>286488.00000100001</v>
      </c>
      <c r="BP40" s="8"/>
    </row>
    <row r="41" spans="1:68" x14ac:dyDescent="0.25">
      <c r="A41" s="2" t="s">
        <v>105</v>
      </c>
      <c r="B41" s="2" t="s">
        <v>68</v>
      </c>
      <c r="C41" s="26">
        <v>448966.617187</v>
      </c>
      <c r="D41" s="26">
        <v>598924</v>
      </c>
      <c r="E41" s="26">
        <v>697851</v>
      </c>
      <c r="F41" s="26">
        <v>800282</v>
      </c>
      <c r="G41" s="26">
        <v>863779</v>
      </c>
      <c r="H41" s="3">
        <v>43823.796875</v>
      </c>
      <c r="I41" s="3">
        <v>35783.050780999998</v>
      </c>
      <c r="J41" s="3">
        <v>28617.769531000002</v>
      </c>
      <c r="K41" s="3">
        <v>45113</v>
      </c>
      <c r="L41" s="3">
        <v>25632</v>
      </c>
      <c r="M41" s="3">
        <v>43312</v>
      </c>
      <c r="N41" s="3">
        <v>44625</v>
      </c>
      <c r="O41" s="3">
        <v>45920</v>
      </c>
      <c r="P41" s="3">
        <v>44100</v>
      </c>
      <c r="Q41" s="3">
        <v>47200</v>
      </c>
      <c r="R41" s="3">
        <v>44840</v>
      </c>
      <c r="S41" s="3">
        <v>50150</v>
      </c>
      <c r="T41" s="3">
        <v>54314</v>
      </c>
      <c r="U41" s="3">
        <v>45359</v>
      </c>
      <c r="V41" s="3">
        <v>44573</v>
      </c>
      <c r="W41" s="3">
        <v>46578</v>
      </c>
      <c r="X41" s="3">
        <v>52108</v>
      </c>
      <c r="Y41" s="3">
        <v>52103</v>
      </c>
      <c r="Z41" s="3">
        <v>51424</v>
      </c>
      <c r="AA41" s="3">
        <v>49827</v>
      </c>
      <c r="AB41" s="3">
        <v>50306</v>
      </c>
      <c r="AC41" s="3">
        <v>54185</v>
      </c>
      <c r="AD41" s="3">
        <v>47997</v>
      </c>
      <c r="AE41" s="3">
        <v>57637</v>
      </c>
      <c r="AF41" s="3">
        <v>62619</v>
      </c>
      <c r="AG41" s="3">
        <v>52580</v>
      </c>
      <c r="AH41" s="3">
        <v>51934</v>
      </c>
      <c r="AI41" s="3">
        <v>54329</v>
      </c>
      <c r="AJ41" s="3">
        <v>60773</v>
      </c>
      <c r="AK41" s="3">
        <v>60789</v>
      </c>
      <c r="AL41" s="3">
        <v>60058</v>
      </c>
      <c r="AM41" s="3">
        <v>58288</v>
      </c>
      <c r="AN41" s="3">
        <v>58981</v>
      </c>
      <c r="AO41" s="3">
        <v>63559</v>
      </c>
      <c r="AP41" s="3">
        <v>56304</v>
      </c>
      <c r="AQ41" s="3">
        <v>67601</v>
      </c>
      <c r="AR41" s="3">
        <v>73410</v>
      </c>
      <c r="AS41" s="3">
        <v>61338</v>
      </c>
      <c r="AT41" s="3">
        <v>60311</v>
      </c>
      <c r="AU41" s="3">
        <v>63173</v>
      </c>
      <c r="AV41" s="3">
        <v>70665</v>
      </c>
      <c r="AW41" s="3">
        <v>70974</v>
      </c>
      <c r="AX41" s="3">
        <v>69815</v>
      </c>
      <c r="AY41" s="3">
        <v>65651</v>
      </c>
      <c r="AZ41" s="3">
        <v>65147</v>
      </c>
      <c r="BA41" s="3">
        <v>70211</v>
      </c>
      <c r="BB41" s="3">
        <v>61986</v>
      </c>
      <c r="BC41" s="3">
        <v>74241</v>
      </c>
      <c r="BD41" s="3">
        <v>80794</v>
      </c>
      <c r="BE41" s="3">
        <v>67904</v>
      </c>
      <c r="BF41" s="3">
        <v>67137</v>
      </c>
      <c r="BG41" s="3">
        <v>70313</v>
      </c>
      <c r="BH41" s="3">
        <v>78681</v>
      </c>
      <c r="BI41" s="3">
        <v>78049</v>
      </c>
      <c r="BJ41" s="3">
        <v>73448</v>
      </c>
      <c r="BK41" s="3">
        <v>65202</v>
      </c>
      <c r="BL41" s="3">
        <v>62628</v>
      </c>
      <c r="BM41" s="3">
        <v>72691</v>
      </c>
      <c r="BN41" s="3">
        <v>72691</v>
      </c>
      <c r="BO41" s="8">
        <f t="shared" si="3"/>
        <v>3409802.6171869999</v>
      </c>
      <c r="BP41" s="8"/>
    </row>
    <row r="42" spans="1:68" x14ac:dyDescent="0.25">
      <c r="A42" s="2" t="s">
        <v>106</v>
      </c>
      <c r="B42" s="2" t="s">
        <v>68</v>
      </c>
      <c r="C42" s="26">
        <v>143794.26147500001</v>
      </c>
      <c r="D42" s="26">
        <v>33089</v>
      </c>
      <c r="E42" s="26">
        <v>34874</v>
      </c>
      <c r="F42" s="26">
        <v>37299</v>
      </c>
      <c r="G42" s="26">
        <v>62290.25</v>
      </c>
      <c r="H42" s="3">
        <v>14626.654236</v>
      </c>
      <c r="I42" s="3">
        <v>18625.050217</v>
      </c>
      <c r="J42" s="3">
        <v>15451.557022000001</v>
      </c>
      <c r="K42" s="3">
        <v>13445</v>
      </c>
      <c r="L42" s="3">
        <v>17400</v>
      </c>
      <c r="M42" s="3">
        <v>17950</v>
      </c>
      <c r="N42" s="3">
        <v>16254</v>
      </c>
      <c r="O42" s="3">
        <v>12615</v>
      </c>
      <c r="P42" s="3">
        <v>10272</v>
      </c>
      <c r="Q42" s="3">
        <v>4790</v>
      </c>
      <c r="R42" s="3">
        <v>2365</v>
      </c>
      <c r="S42" s="3">
        <v>3010</v>
      </c>
      <c r="T42" s="3">
        <v>2929</v>
      </c>
      <c r="U42" s="3">
        <v>2658</v>
      </c>
      <c r="V42" s="3">
        <v>2706</v>
      </c>
      <c r="W42" s="3">
        <v>2715</v>
      </c>
      <c r="X42" s="3">
        <v>2991</v>
      </c>
      <c r="Y42" s="3">
        <v>2757</v>
      </c>
      <c r="Z42" s="3">
        <v>2426</v>
      </c>
      <c r="AA42" s="3">
        <v>2612</v>
      </c>
      <c r="AB42" s="3">
        <v>2961</v>
      </c>
      <c r="AC42" s="3">
        <v>2838</v>
      </c>
      <c r="AD42" s="3">
        <v>2486</v>
      </c>
      <c r="AE42" s="3">
        <v>3164</v>
      </c>
      <c r="AF42" s="3">
        <v>3078</v>
      </c>
      <c r="AG42" s="3">
        <v>2793</v>
      </c>
      <c r="AH42" s="3">
        <v>2843</v>
      </c>
      <c r="AI42" s="3">
        <v>2854</v>
      </c>
      <c r="AJ42" s="3">
        <v>3144</v>
      </c>
      <c r="AK42" s="3">
        <v>2897</v>
      </c>
      <c r="AL42" s="3">
        <v>2550</v>
      </c>
      <c r="AM42" s="3">
        <v>2746</v>
      </c>
      <c r="AN42" s="3">
        <v>3124</v>
      </c>
      <c r="AO42" s="3">
        <v>3029</v>
      </c>
      <c r="AP42" s="3">
        <v>2652</v>
      </c>
      <c r="AQ42" s="3">
        <v>3376</v>
      </c>
      <c r="AR42" s="3">
        <v>3286</v>
      </c>
      <c r="AS42" s="3">
        <v>2981</v>
      </c>
      <c r="AT42" s="3">
        <v>3033</v>
      </c>
      <c r="AU42" s="3">
        <v>3046</v>
      </c>
      <c r="AV42" s="3">
        <v>3355</v>
      </c>
      <c r="AW42" s="3">
        <v>3092</v>
      </c>
      <c r="AX42" s="3">
        <v>2721</v>
      </c>
      <c r="AY42" s="3">
        <v>2946</v>
      </c>
      <c r="AZ42" s="3">
        <v>3383</v>
      </c>
      <c r="BA42" s="3">
        <v>3242</v>
      </c>
      <c r="BB42" s="3">
        <v>2838</v>
      </c>
      <c r="BC42" s="3">
        <v>3614</v>
      </c>
      <c r="BD42" s="3">
        <v>3517</v>
      </c>
      <c r="BE42" s="3">
        <v>3190</v>
      </c>
      <c r="BF42" s="3">
        <v>3247</v>
      </c>
      <c r="BG42" s="3">
        <v>3260</v>
      </c>
      <c r="BH42" s="3">
        <v>3591</v>
      </c>
      <c r="BI42" s="3">
        <v>3309</v>
      </c>
      <c r="BJ42" s="3">
        <v>5148</v>
      </c>
      <c r="BK42" s="3">
        <v>10320</v>
      </c>
      <c r="BL42" s="3">
        <v>14721</v>
      </c>
      <c r="BM42" s="3">
        <v>4186.625</v>
      </c>
      <c r="BN42" s="3">
        <v>4186.625</v>
      </c>
      <c r="BO42" s="8">
        <f t="shared" si="3"/>
        <v>311346.51147500001</v>
      </c>
      <c r="BP42" s="8"/>
    </row>
    <row r="43" spans="1:68" x14ac:dyDescent="0.25">
      <c r="A43" s="2" t="s">
        <v>107</v>
      </c>
      <c r="B43" s="2" t="s">
        <v>68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8">
        <f t="shared" si="3"/>
        <v>0</v>
      </c>
      <c r="BP43" s="8"/>
    </row>
    <row r="44" spans="1:68" x14ac:dyDescent="0.25">
      <c r="A44" s="2" t="s">
        <v>108</v>
      </c>
      <c r="B44" s="2" t="s">
        <v>68</v>
      </c>
      <c r="C44" s="26">
        <v>89468.976561999996</v>
      </c>
      <c r="D44" s="26">
        <v>105522</v>
      </c>
      <c r="E44" s="26">
        <v>107055</v>
      </c>
      <c r="F44" s="26">
        <v>109224</v>
      </c>
      <c r="G44" s="26">
        <v>112556.5</v>
      </c>
      <c r="H44" s="3">
        <v>8219.9326170000004</v>
      </c>
      <c r="I44" s="3">
        <v>10991.340819999999</v>
      </c>
      <c r="J44" s="3">
        <v>9068.703125</v>
      </c>
      <c r="K44" s="3">
        <v>4197</v>
      </c>
      <c r="L44" s="3">
        <v>8022</v>
      </c>
      <c r="M44" s="3">
        <v>8056</v>
      </c>
      <c r="N44" s="3">
        <v>7947</v>
      </c>
      <c r="O44" s="3">
        <v>8411</v>
      </c>
      <c r="P44" s="3">
        <v>8400</v>
      </c>
      <c r="Q44" s="3">
        <v>8307</v>
      </c>
      <c r="R44" s="3">
        <v>7849</v>
      </c>
      <c r="S44" s="3">
        <v>9264</v>
      </c>
      <c r="T44" s="3">
        <v>9613</v>
      </c>
      <c r="U44" s="3">
        <v>9336</v>
      </c>
      <c r="V44" s="3">
        <v>9856</v>
      </c>
      <c r="W44" s="3">
        <v>9237</v>
      </c>
      <c r="X44" s="3">
        <v>8858</v>
      </c>
      <c r="Y44" s="3">
        <v>8149</v>
      </c>
      <c r="Z44" s="3">
        <v>8005</v>
      </c>
      <c r="AA44" s="3">
        <v>8456</v>
      </c>
      <c r="AB44" s="3">
        <v>8402</v>
      </c>
      <c r="AC44" s="3">
        <v>8422</v>
      </c>
      <c r="AD44" s="3">
        <v>7924</v>
      </c>
      <c r="AE44" s="3">
        <v>9398</v>
      </c>
      <c r="AF44" s="3">
        <v>9718</v>
      </c>
      <c r="AG44" s="3">
        <v>9428</v>
      </c>
      <c r="AH44" s="3">
        <v>9932</v>
      </c>
      <c r="AI44" s="3">
        <v>9328</v>
      </c>
      <c r="AJ44" s="3">
        <v>8989</v>
      </c>
      <c r="AK44" s="3">
        <v>8276</v>
      </c>
      <c r="AL44" s="3">
        <v>8101</v>
      </c>
      <c r="AM44" s="3">
        <v>8601</v>
      </c>
      <c r="AN44" s="3">
        <v>8626</v>
      </c>
      <c r="AO44" s="3">
        <v>8591</v>
      </c>
      <c r="AP44" s="3">
        <v>8067</v>
      </c>
      <c r="AQ44" s="3">
        <v>9590</v>
      </c>
      <c r="AR44" s="3">
        <v>9900</v>
      </c>
      <c r="AS44" s="3">
        <v>9599</v>
      </c>
      <c r="AT44" s="3">
        <v>10097</v>
      </c>
      <c r="AU44" s="3">
        <v>9497</v>
      </c>
      <c r="AV44" s="3">
        <v>9176</v>
      </c>
      <c r="AW44" s="3">
        <v>8451</v>
      </c>
      <c r="AX44" s="3">
        <v>8247</v>
      </c>
      <c r="AY44" s="3">
        <v>8747</v>
      </c>
      <c r="AZ44" s="3">
        <v>8849</v>
      </c>
      <c r="BA44" s="3">
        <v>8819</v>
      </c>
      <c r="BB44" s="3">
        <v>8252</v>
      </c>
      <c r="BC44" s="3">
        <v>9856</v>
      </c>
      <c r="BD44" s="3">
        <v>10136</v>
      </c>
      <c r="BE44" s="3">
        <v>9820</v>
      </c>
      <c r="BF44" s="3">
        <v>10306</v>
      </c>
      <c r="BG44" s="3">
        <v>9713</v>
      </c>
      <c r="BH44" s="3">
        <v>9431</v>
      </c>
      <c r="BI44" s="3">
        <v>8699</v>
      </c>
      <c r="BJ44" s="3">
        <v>8382</v>
      </c>
      <c r="BK44" s="3">
        <v>8643</v>
      </c>
      <c r="BL44" s="3">
        <v>8788</v>
      </c>
      <c r="BM44" s="3">
        <v>9391.25</v>
      </c>
      <c r="BN44" s="3">
        <v>9391.25</v>
      </c>
      <c r="BO44" s="8">
        <f t="shared" si="3"/>
        <v>523826.476562</v>
      </c>
      <c r="BP44" s="8"/>
    </row>
    <row r="45" spans="1:68" x14ac:dyDescent="0.25">
      <c r="A45" s="2" t="s">
        <v>109</v>
      </c>
      <c r="B45" s="2" t="s">
        <v>68</v>
      </c>
      <c r="C45" s="26">
        <v>2591044.2875979999</v>
      </c>
      <c r="D45" s="26">
        <v>2922132</v>
      </c>
      <c r="E45" s="26">
        <v>3107853</v>
      </c>
      <c r="F45" s="26">
        <v>3314381</v>
      </c>
      <c r="G45" s="26">
        <v>3561006.75</v>
      </c>
      <c r="H45" s="3">
        <v>280807.69677699998</v>
      </c>
      <c r="I45" s="3">
        <v>333372.86914099997</v>
      </c>
      <c r="J45" s="3">
        <v>277810.72168000002</v>
      </c>
      <c r="K45" s="3">
        <v>221601</v>
      </c>
      <c r="L45" s="3">
        <v>126362</v>
      </c>
      <c r="M45" s="3">
        <v>213221</v>
      </c>
      <c r="N45" s="3">
        <v>224906</v>
      </c>
      <c r="O45" s="3">
        <v>239513</v>
      </c>
      <c r="P45" s="3">
        <v>230425</v>
      </c>
      <c r="Q45" s="3">
        <v>224980</v>
      </c>
      <c r="R45" s="3">
        <v>218045</v>
      </c>
      <c r="S45" s="3">
        <v>243932</v>
      </c>
      <c r="T45" s="3">
        <v>238049</v>
      </c>
      <c r="U45" s="3">
        <v>218567</v>
      </c>
      <c r="V45" s="3">
        <v>239317</v>
      </c>
      <c r="W45" s="3">
        <v>229421</v>
      </c>
      <c r="X45" s="3">
        <v>259307</v>
      </c>
      <c r="Y45" s="3">
        <v>258943</v>
      </c>
      <c r="Z45" s="3">
        <v>237283</v>
      </c>
      <c r="AA45" s="3">
        <v>261853</v>
      </c>
      <c r="AB45" s="3">
        <v>268354</v>
      </c>
      <c r="AC45" s="3">
        <v>237492</v>
      </c>
      <c r="AD45" s="3">
        <v>229614</v>
      </c>
      <c r="AE45" s="3">
        <v>259190</v>
      </c>
      <c r="AF45" s="3">
        <v>253637</v>
      </c>
      <c r="AG45" s="3">
        <v>232371</v>
      </c>
      <c r="AH45" s="3">
        <v>253616</v>
      </c>
      <c r="AI45" s="3">
        <v>243593</v>
      </c>
      <c r="AJ45" s="3">
        <v>274674</v>
      </c>
      <c r="AK45" s="3">
        <v>274416</v>
      </c>
      <c r="AL45" s="3">
        <v>252580</v>
      </c>
      <c r="AM45" s="3">
        <v>278662</v>
      </c>
      <c r="AN45" s="3">
        <v>285661</v>
      </c>
      <c r="AO45" s="3">
        <v>254215</v>
      </c>
      <c r="AP45" s="3">
        <v>245238</v>
      </c>
      <c r="AQ45" s="3">
        <v>276727</v>
      </c>
      <c r="AR45" s="3">
        <v>271462</v>
      </c>
      <c r="AS45" s="3">
        <v>248220</v>
      </c>
      <c r="AT45" s="3">
        <v>270139</v>
      </c>
      <c r="AU45" s="3">
        <v>260060</v>
      </c>
      <c r="AV45" s="3">
        <v>292625</v>
      </c>
      <c r="AW45" s="3">
        <v>292583</v>
      </c>
      <c r="AX45" s="3">
        <v>270884</v>
      </c>
      <c r="AY45" s="3">
        <v>296770</v>
      </c>
      <c r="AZ45" s="3">
        <v>304182</v>
      </c>
      <c r="BA45" s="3">
        <v>270299</v>
      </c>
      <c r="BB45" s="3">
        <v>260430</v>
      </c>
      <c r="BC45" s="3">
        <v>293803</v>
      </c>
      <c r="BD45" s="3">
        <v>288585</v>
      </c>
      <c r="BE45" s="3">
        <v>263597</v>
      </c>
      <c r="BF45" s="3">
        <v>286459</v>
      </c>
      <c r="BG45" s="3">
        <v>276137</v>
      </c>
      <c r="BH45" s="3">
        <v>313286</v>
      </c>
      <c r="BI45" s="3">
        <v>329625</v>
      </c>
      <c r="BJ45" s="3">
        <v>307203</v>
      </c>
      <c r="BK45" s="3">
        <v>302051</v>
      </c>
      <c r="BL45" s="3">
        <v>308525</v>
      </c>
      <c r="BM45" s="3">
        <v>295867.875</v>
      </c>
      <c r="BN45" s="3">
        <v>295867.875</v>
      </c>
      <c r="BO45" s="8">
        <f t="shared" si="3"/>
        <v>15496417.037597999</v>
      </c>
      <c r="BP45" s="3"/>
    </row>
    <row r="46" spans="1:68" x14ac:dyDescent="0.25">
      <c r="A46" s="2" t="s">
        <v>110</v>
      </c>
      <c r="B46" s="2" t="s">
        <v>68</v>
      </c>
      <c r="C46" s="26">
        <v>14582</v>
      </c>
      <c r="D46" s="26">
        <v>6740</v>
      </c>
      <c r="E46" s="26">
        <v>7235</v>
      </c>
      <c r="F46" s="26">
        <v>7754</v>
      </c>
      <c r="G46" s="26">
        <v>10812.25</v>
      </c>
      <c r="H46" s="3">
        <v>2205</v>
      </c>
      <c r="I46" s="3">
        <v>2880</v>
      </c>
      <c r="J46" s="3">
        <v>2400</v>
      </c>
      <c r="K46" s="3">
        <v>1132</v>
      </c>
      <c r="L46" s="3">
        <v>836</v>
      </c>
      <c r="M46" s="3">
        <v>1187</v>
      </c>
      <c r="N46" s="3">
        <v>1117</v>
      </c>
      <c r="O46" s="3">
        <v>1171</v>
      </c>
      <c r="P46" s="3">
        <v>617</v>
      </c>
      <c r="Q46" s="3">
        <v>541</v>
      </c>
      <c r="R46" s="3">
        <v>496</v>
      </c>
      <c r="S46" s="3">
        <v>682</v>
      </c>
      <c r="T46" s="3">
        <v>570</v>
      </c>
      <c r="U46" s="3">
        <v>510</v>
      </c>
      <c r="V46" s="3">
        <v>568</v>
      </c>
      <c r="W46" s="3">
        <v>513</v>
      </c>
      <c r="X46" s="3">
        <v>564</v>
      </c>
      <c r="Y46" s="3">
        <v>567</v>
      </c>
      <c r="Z46" s="3">
        <v>508</v>
      </c>
      <c r="AA46" s="3">
        <v>539</v>
      </c>
      <c r="AB46" s="3">
        <v>605</v>
      </c>
      <c r="AC46" s="3">
        <v>582</v>
      </c>
      <c r="AD46" s="3">
        <v>532</v>
      </c>
      <c r="AE46" s="3">
        <v>732</v>
      </c>
      <c r="AF46" s="3">
        <v>613</v>
      </c>
      <c r="AG46" s="3">
        <v>548</v>
      </c>
      <c r="AH46" s="3">
        <v>609</v>
      </c>
      <c r="AI46" s="3">
        <v>551</v>
      </c>
      <c r="AJ46" s="3">
        <v>607</v>
      </c>
      <c r="AK46" s="3">
        <v>609</v>
      </c>
      <c r="AL46" s="3">
        <v>545</v>
      </c>
      <c r="AM46" s="3">
        <v>578</v>
      </c>
      <c r="AN46" s="3">
        <v>650</v>
      </c>
      <c r="AO46" s="3">
        <v>623</v>
      </c>
      <c r="AP46" s="3">
        <v>570</v>
      </c>
      <c r="AQ46" s="3">
        <v>784</v>
      </c>
      <c r="AR46" s="3">
        <v>656</v>
      </c>
      <c r="AS46" s="3">
        <v>588</v>
      </c>
      <c r="AT46" s="3">
        <v>652</v>
      </c>
      <c r="AU46" s="3">
        <v>590</v>
      </c>
      <c r="AV46" s="3">
        <v>650</v>
      </c>
      <c r="AW46" s="3">
        <v>651</v>
      </c>
      <c r="AX46" s="3">
        <v>585</v>
      </c>
      <c r="AY46" s="3">
        <v>620</v>
      </c>
      <c r="AZ46" s="3">
        <v>695</v>
      </c>
      <c r="BA46" s="3">
        <v>671</v>
      </c>
      <c r="BB46" s="3">
        <v>612</v>
      </c>
      <c r="BC46" s="3">
        <v>843</v>
      </c>
      <c r="BD46" s="3">
        <v>706</v>
      </c>
      <c r="BE46" s="3">
        <v>631</v>
      </c>
      <c r="BF46" s="3">
        <v>700</v>
      </c>
      <c r="BG46" s="3">
        <v>635</v>
      </c>
      <c r="BH46" s="3">
        <v>698</v>
      </c>
      <c r="BI46" s="3">
        <v>707</v>
      </c>
      <c r="BJ46" s="3">
        <v>846</v>
      </c>
      <c r="BK46" s="3">
        <v>1414</v>
      </c>
      <c r="BL46" s="3">
        <v>2048</v>
      </c>
      <c r="BM46" s="3">
        <v>792.125</v>
      </c>
      <c r="BN46" s="3">
        <v>792.125</v>
      </c>
      <c r="BO46" s="8">
        <f t="shared" si="3"/>
        <v>47123.25</v>
      </c>
      <c r="BP46" s="3"/>
    </row>
    <row r="47" spans="1:68" x14ac:dyDescent="0.25">
      <c r="A47" s="2" t="s">
        <v>111</v>
      </c>
      <c r="B47" s="2" t="s">
        <v>68</v>
      </c>
      <c r="C47" s="26"/>
      <c r="D47" s="26"/>
      <c r="E47" s="26"/>
      <c r="F47" s="26"/>
      <c r="G47" s="26"/>
      <c r="H47" s="3">
        <v>5150</v>
      </c>
      <c r="I47" s="3">
        <v>6000</v>
      </c>
      <c r="J47" s="3">
        <v>4900</v>
      </c>
      <c r="K47" s="3">
        <v>4850</v>
      </c>
      <c r="L47" s="3">
        <v>4995.5</v>
      </c>
      <c r="M47" s="3">
        <v>5145.3649999999998</v>
      </c>
      <c r="N47" s="3">
        <v>5299.72595</v>
      </c>
      <c r="O47" s="3">
        <v>5458.7177284999998</v>
      </c>
      <c r="P47" s="3">
        <v>5622.4792603549995</v>
      </c>
      <c r="Q47" s="3">
        <v>5791.1536381656497</v>
      </c>
      <c r="R47" s="3">
        <v>5964.8882473106196</v>
      </c>
      <c r="S47" s="3">
        <v>6143.8348947299382</v>
      </c>
      <c r="T47" s="3">
        <v>5304.5</v>
      </c>
      <c r="U47" s="3">
        <v>6180</v>
      </c>
      <c r="V47" s="3">
        <v>5047</v>
      </c>
      <c r="W47" s="3">
        <v>4995.5</v>
      </c>
      <c r="X47" s="3">
        <v>5145.3649999999998</v>
      </c>
      <c r="Y47" s="3">
        <v>5299.72595</v>
      </c>
      <c r="Z47" s="3">
        <v>5458.7177284999998</v>
      </c>
      <c r="AA47" s="3">
        <v>5622.4792603549995</v>
      </c>
      <c r="AB47" s="3">
        <v>5791.1536381656497</v>
      </c>
      <c r="AC47" s="3">
        <v>5964.8882473106196</v>
      </c>
      <c r="AD47" s="3">
        <v>6143.8348947299382</v>
      </c>
      <c r="AE47" s="3">
        <v>6328.1499415718363</v>
      </c>
      <c r="AF47" s="3">
        <v>5463.6350000000002</v>
      </c>
      <c r="AG47" s="3">
        <v>6365.4000000000005</v>
      </c>
      <c r="AH47" s="3">
        <v>5198.41</v>
      </c>
      <c r="AI47" s="3">
        <v>5145.3649999999998</v>
      </c>
      <c r="AJ47" s="3">
        <v>5299.72595</v>
      </c>
      <c r="AK47" s="3">
        <v>5458.7177284999998</v>
      </c>
      <c r="AL47" s="3">
        <v>5622.4792603549995</v>
      </c>
      <c r="AM47" s="3">
        <v>5791.1536381656497</v>
      </c>
      <c r="AN47" s="3">
        <v>5964.8882473106196</v>
      </c>
      <c r="AO47" s="3">
        <v>6143.8348947299382</v>
      </c>
      <c r="AP47" s="3">
        <v>6328.1499415718363</v>
      </c>
      <c r="AQ47" s="3">
        <v>6517.9944398189919</v>
      </c>
      <c r="AR47" s="3">
        <v>5627.5440500000004</v>
      </c>
      <c r="AS47" s="3">
        <v>6556.362000000001</v>
      </c>
      <c r="AT47" s="3">
        <v>5354.3622999999998</v>
      </c>
      <c r="AU47" s="3">
        <v>5299.72595</v>
      </c>
      <c r="AV47" s="3">
        <v>5458.7177284999998</v>
      </c>
      <c r="AW47" s="3">
        <v>5622.4792603549995</v>
      </c>
      <c r="AX47" s="3">
        <v>5791.1536381656497</v>
      </c>
      <c r="AY47" s="3">
        <v>5964.8882473106196</v>
      </c>
      <c r="AZ47" s="3">
        <v>6143.8348947299382</v>
      </c>
      <c r="BA47" s="3">
        <v>6328.1499415718363</v>
      </c>
      <c r="BB47" s="3">
        <v>6517.9944398189919</v>
      </c>
      <c r="BC47" s="3">
        <v>6713.5342730135617</v>
      </c>
      <c r="BD47" s="3">
        <v>5796.3703715000001</v>
      </c>
      <c r="BE47" s="3">
        <v>6753.0528600000016</v>
      </c>
      <c r="BF47" s="3">
        <v>5514.9931690000003</v>
      </c>
      <c r="BG47" s="3">
        <v>5458.7177284999998</v>
      </c>
      <c r="BH47" s="3">
        <v>5622.4792603549995</v>
      </c>
      <c r="BI47" s="3">
        <v>5791.1536381656497</v>
      </c>
      <c r="BJ47" s="3">
        <v>5964.8882473106196</v>
      </c>
      <c r="BK47" s="3">
        <v>6143.8348947299382</v>
      </c>
      <c r="BL47" s="3">
        <v>6328.1499415718363</v>
      </c>
      <c r="BM47" s="3">
        <v>6517.9944398189919</v>
      </c>
      <c r="BN47" s="3">
        <v>6713.5342730135617</v>
      </c>
      <c r="BO47" s="8">
        <f t="shared" si="3"/>
        <v>339886.64902757754</v>
      </c>
      <c r="BP47" s="3"/>
    </row>
    <row r="48" spans="1:68" x14ac:dyDescent="0.25">
      <c r="A48" s="2" t="s">
        <v>112</v>
      </c>
      <c r="B48" s="2" t="s">
        <v>113</v>
      </c>
      <c r="C48" s="26"/>
      <c r="D48" s="26"/>
      <c r="E48" s="26"/>
      <c r="F48" s="26"/>
      <c r="G48" s="26"/>
      <c r="H48" s="8">
        <v>57080</v>
      </c>
      <c r="I48" s="8">
        <v>59443</v>
      </c>
      <c r="J48" s="8">
        <v>65731</v>
      </c>
      <c r="K48" s="8">
        <v>61433</v>
      </c>
      <c r="L48" s="8">
        <v>66468</v>
      </c>
      <c r="M48" s="8">
        <v>68995</v>
      </c>
      <c r="N48" s="8">
        <v>72994</v>
      </c>
      <c r="O48" s="8">
        <v>67873</v>
      </c>
      <c r="P48" s="8">
        <v>72596</v>
      </c>
      <c r="Q48" s="8">
        <v>83817</v>
      </c>
      <c r="R48" s="8">
        <v>67500</v>
      </c>
      <c r="S48" s="8">
        <v>71092</v>
      </c>
      <c r="T48" s="8">
        <v>78679</v>
      </c>
      <c r="U48" s="8">
        <v>70345</v>
      </c>
      <c r="V48" s="8">
        <v>79854</v>
      </c>
      <c r="W48" s="8">
        <v>67463</v>
      </c>
      <c r="X48" s="8">
        <v>73809</v>
      </c>
      <c r="Y48" s="8">
        <v>79060</v>
      </c>
      <c r="Z48" s="8">
        <v>72800</v>
      </c>
      <c r="AA48" s="8">
        <v>67036</v>
      </c>
      <c r="AB48" s="8">
        <v>72061</v>
      </c>
      <c r="AC48" s="8">
        <v>83394</v>
      </c>
      <c r="AD48" s="8">
        <v>72522</v>
      </c>
      <c r="AE48" s="8">
        <v>76922</v>
      </c>
      <c r="AF48" s="8">
        <v>85129</v>
      </c>
      <c r="AG48" s="8">
        <v>76122</v>
      </c>
      <c r="AH48" s="8">
        <v>86438</v>
      </c>
      <c r="AI48" s="8">
        <v>73095</v>
      </c>
      <c r="AJ48" s="8">
        <v>79962</v>
      </c>
      <c r="AK48" s="8">
        <v>85612</v>
      </c>
      <c r="AL48" s="8">
        <v>78849</v>
      </c>
      <c r="AM48" s="8">
        <v>72691</v>
      </c>
      <c r="AN48" s="8">
        <v>77888</v>
      </c>
      <c r="AO48" s="8">
        <v>90021</v>
      </c>
      <c r="AP48" s="8">
        <v>77387</v>
      </c>
      <c r="AQ48" s="8">
        <v>82018</v>
      </c>
      <c r="AR48" s="8">
        <v>90752</v>
      </c>
      <c r="AS48" s="8">
        <v>81170</v>
      </c>
      <c r="AT48" s="8">
        <v>92170</v>
      </c>
      <c r="AU48" s="8">
        <v>77998</v>
      </c>
      <c r="AV48" s="8">
        <v>85313</v>
      </c>
      <c r="AW48" s="8">
        <v>91288</v>
      </c>
      <c r="AX48" s="8">
        <v>84087</v>
      </c>
      <c r="AY48" s="8">
        <v>77625</v>
      </c>
      <c r="AZ48" s="8">
        <v>82820</v>
      </c>
      <c r="BA48" s="8">
        <v>95654</v>
      </c>
      <c r="BB48" s="8">
        <v>81964</v>
      </c>
      <c r="BC48" s="8">
        <v>86793</v>
      </c>
      <c r="BD48" s="8">
        <v>96051</v>
      </c>
      <c r="BE48" s="8">
        <v>85902</v>
      </c>
      <c r="BF48" s="8">
        <v>97565</v>
      </c>
      <c r="BG48" s="8">
        <v>82553</v>
      </c>
      <c r="BH48" s="8">
        <v>90287</v>
      </c>
      <c r="BI48" s="8">
        <v>96624</v>
      </c>
      <c r="BJ48" s="8">
        <v>89032</v>
      </c>
      <c r="BK48" s="8">
        <v>82389</v>
      </c>
      <c r="BL48" s="8">
        <v>86457</v>
      </c>
      <c r="BM48" s="8">
        <v>90050.375</v>
      </c>
      <c r="BN48" s="8">
        <v>90050.375</v>
      </c>
      <c r="BO48" s="8">
        <f t="shared" si="3"/>
        <v>4688773.75</v>
      </c>
      <c r="BP48" s="3"/>
    </row>
    <row r="49" spans="1:68" x14ac:dyDescent="0.25">
      <c r="A49" s="2" t="s">
        <v>114</v>
      </c>
      <c r="B49" s="2" t="s">
        <v>113</v>
      </c>
      <c r="C49" s="26"/>
      <c r="D49" s="26"/>
      <c r="E49" s="26"/>
      <c r="F49" s="26"/>
      <c r="G49" s="26"/>
      <c r="H49" s="8">
        <v>39511</v>
      </c>
      <c r="I49" s="8">
        <v>45157</v>
      </c>
      <c r="J49" s="8">
        <v>48295</v>
      </c>
      <c r="K49" s="8">
        <v>44511</v>
      </c>
      <c r="L49" s="8">
        <v>46614</v>
      </c>
      <c r="M49" s="8">
        <v>47073</v>
      </c>
      <c r="N49" s="8">
        <v>51261</v>
      </c>
      <c r="O49" s="8">
        <v>47107</v>
      </c>
      <c r="P49" s="8">
        <v>51759</v>
      </c>
      <c r="Q49" s="8">
        <v>58977</v>
      </c>
      <c r="R49" s="8">
        <v>47322</v>
      </c>
      <c r="S49" s="8">
        <v>48876</v>
      </c>
      <c r="T49" s="8">
        <v>54375</v>
      </c>
      <c r="U49" s="8">
        <v>49227</v>
      </c>
      <c r="V49" s="8">
        <v>55544</v>
      </c>
      <c r="W49" s="8">
        <v>46305</v>
      </c>
      <c r="X49" s="8">
        <v>51540</v>
      </c>
      <c r="Y49" s="8">
        <v>54747</v>
      </c>
      <c r="Z49" s="8">
        <v>50682</v>
      </c>
      <c r="AA49" s="8">
        <v>45902</v>
      </c>
      <c r="AB49" s="8">
        <v>50854</v>
      </c>
      <c r="AC49" s="8">
        <v>58016</v>
      </c>
      <c r="AD49" s="8">
        <v>50613</v>
      </c>
      <c r="AE49" s="8">
        <v>52798</v>
      </c>
      <c r="AF49" s="8">
        <v>58737</v>
      </c>
      <c r="AG49" s="8">
        <v>53191</v>
      </c>
      <c r="AH49" s="8">
        <v>60041</v>
      </c>
      <c r="AI49" s="8">
        <v>50120</v>
      </c>
      <c r="AJ49" s="8">
        <v>55781</v>
      </c>
      <c r="AK49" s="8">
        <v>59212</v>
      </c>
      <c r="AL49" s="8">
        <v>54832</v>
      </c>
      <c r="AM49" s="8">
        <v>49742</v>
      </c>
      <c r="AN49" s="8">
        <v>54860</v>
      </c>
      <c r="AO49" s="8">
        <v>62507</v>
      </c>
      <c r="AP49" s="8">
        <v>54164</v>
      </c>
      <c r="AQ49" s="8">
        <v>56447</v>
      </c>
      <c r="AR49" s="8">
        <v>62776</v>
      </c>
      <c r="AS49" s="8">
        <v>56863</v>
      </c>
      <c r="AT49" s="8">
        <v>64189</v>
      </c>
      <c r="AU49" s="8">
        <v>53645</v>
      </c>
      <c r="AV49" s="8">
        <v>59681</v>
      </c>
      <c r="AW49" s="8">
        <v>63304</v>
      </c>
      <c r="AX49" s="8">
        <v>58628</v>
      </c>
      <c r="AY49" s="8">
        <v>53299</v>
      </c>
      <c r="AZ49" s="8">
        <v>58412</v>
      </c>
      <c r="BA49" s="8">
        <v>66489</v>
      </c>
      <c r="BB49" s="8">
        <v>57346</v>
      </c>
      <c r="BC49" s="8">
        <v>59688</v>
      </c>
      <c r="BD49" s="8">
        <v>66397</v>
      </c>
      <c r="BE49" s="8">
        <v>60137</v>
      </c>
      <c r="BF49" s="8">
        <v>67905</v>
      </c>
      <c r="BG49" s="8">
        <v>56738</v>
      </c>
      <c r="BH49" s="8">
        <v>63118</v>
      </c>
      <c r="BI49" s="8">
        <v>66960</v>
      </c>
      <c r="BJ49" s="8">
        <v>62047</v>
      </c>
      <c r="BK49" s="8">
        <v>56603</v>
      </c>
      <c r="BL49" s="8">
        <v>60583</v>
      </c>
      <c r="BM49" s="8">
        <v>62488.125</v>
      </c>
      <c r="BN49" s="8">
        <v>62488.125</v>
      </c>
      <c r="BO49" s="8"/>
      <c r="BP49" s="3"/>
    </row>
    <row r="50" spans="1:68" x14ac:dyDescent="0.25">
      <c r="A50" s="2"/>
      <c r="B50" s="2"/>
      <c r="C50" s="22"/>
      <c r="D50" s="22"/>
      <c r="E50" s="22"/>
      <c r="F50" s="22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8"/>
      <c r="BP50" s="8"/>
    </row>
    <row r="51" spans="1:68" s="14" customFormat="1" ht="13" x14ac:dyDescent="0.3">
      <c r="A51" s="12"/>
      <c r="B51" s="12" t="s">
        <v>115</v>
      </c>
      <c r="C51" s="23"/>
      <c r="D51" s="23"/>
      <c r="E51" s="23"/>
      <c r="F51" s="23"/>
      <c r="G51" s="23"/>
      <c r="H51" s="13">
        <f>SUBTOTAL(9,H4:H47)</f>
        <v>2731168.8912339997</v>
      </c>
      <c r="I51" s="13">
        <f t="shared" ref="I51:BM51" si="4">SUBTOTAL(9,I4:I47)</f>
        <v>3230931.9623529995</v>
      </c>
      <c r="J51" s="13">
        <f t="shared" si="4"/>
        <v>2656628.533756</v>
      </c>
      <c r="K51" s="13">
        <f t="shared" si="4"/>
        <v>2471132</v>
      </c>
      <c r="L51" s="13">
        <f t="shared" si="4"/>
        <v>1861369.5</v>
      </c>
      <c r="M51" s="13">
        <f t="shared" si="4"/>
        <v>2435563.3650000002</v>
      </c>
      <c r="N51" s="13">
        <f t="shared" si="4"/>
        <v>2387394.7259499999</v>
      </c>
      <c r="O51" s="13">
        <f t="shared" si="4"/>
        <v>2393580.7177284998</v>
      </c>
      <c r="P51" s="13">
        <f t="shared" si="4"/>
        <v>2364410.4792603548</v>
      </c>
      <c r="Q51" s="13">
        <f t="shared" si="4"/>
        <v>2362764.1536381654</v>
      </c>
      <c r="R51" s="13">
        <f t="shared" si="4"/>
        <v>2226399.8882473106</v>
      </c>
      <c r="S51" s="13">
        <f t="shared" si="4"/>
        <v>2542854.8348947298</v>
      </c>
      <c r="T51" s="13">
        <f t="shared" si="4"/>
        <v>2613314.5</v>
      </c>
      <c r="U51" s="13">
        <f t="shared" si="4"/>
        <v>2431478</v>
      </c>
      <c r="V51" s="13">
        <f t="shared" si="4"/>
        <v>2505366</v>
      </c>
      <c r="W51" s="13">
        <f t="shared" si="4"/>
        <v>2455871.5</v>
      </c>
      <c r="X51" s="13">
        <f t="shared" si="4"/>
        <v>2707471.3650000002</v>
      </c>
      <c r="Y51" s="13">
        <f t="shared" si="4"/>
        <v>2630514.7259499999</v>
      </c>
      <c r="Z51" s="13">
        <f t="shared" si="4"/>
        <v>2393385.7177284998</v>
      </c>
      <c r="AA51" s="13">
        <f t="shared" si="4"/>
        <v>2480216.4792603548</v>
      </c>
      <c r="AB51" s="13">
        <f t="shared" si="4"/>
        <v>2562350.1536381654</v>
      </c>
      <c r="AC51" s="13">
        <f t="shared" si="4"/>
        <v>2571185.8882473106</v>
      </c>
      <c r="AD51" s="13">
        <f t="shared" si="4"/>
        <v>2303372.8348947298</v>
      </c>
      <c r="AE51" s="13">
        <f t="shared" si="4"/>
        <v>2732965.149941572</v>
      </c>
      <c r="AF51" s="13">
        <f t="shared" si="4"/>
        <v>2814780.6349999998</v>
      </c>
      <c r="AG51" s="13">
        <f t="shared" si="4"/>
        <v>2614920.4</v>
      </c>
      <c r="AH51" s="13">
        <f t="shared" si="4"/>
        <v>2683646.41</v>
      </c>
      <c r="AI51" s="13">
        <f t="shared" si="4"/>
        <v>2629877.3650000002</v>
      </c>
      <c r="AJ51" s="13">
        <f t="shared" si="4"/>
        <v>2897943.7259499999</v>
      </c>
      <c r="AK51" s="13">
        <f t="shared" si="4"/>
        <v>2818210.7177284998</v>
      </c>
      <c r="AL51" s="13">
        <f t="shared" si="4"/>
        <v>2571422.4792603548</v>
      </c>
      <c r="AM51" s="13">
        <f t="shared" si="4"/>
        <v>2666204.1536381654</v>
      </c>
      <c r="AN51" s="13">
        <f t="shared" si="4"/>
        <v>2759048.8882473106</v>
      </c>
      <c r="AO51" s="13">
        <f t="shared" si="4"/>
        <v>2785540.8348947298</v>
      </c>
      <c r="AP51" s="13">
        <f t="shared" si="4"/>
        <v>2490229.149941572</v>
      </c>
      <c r="AQ51" s="13">
        <f t="shared" si="4"/>
        <v>2951445.9944398189</v>
      </c>
      <c r="AR51" s="13">
        <f t="shared" si="4"/>
        <v>3046042.5440500001</v>
      </c>
      <c r="AS51" s="13">
        <f t="shared" si="4"/>
        <v>2825186.3620000002</v>
      </c>
      <c r="AT51" s="13">
        <f t="shared" si="4"/>
        <v>2886742.3623000002</v>
      </c>
      <c r="AU51" s="13">
        <f t="shared" si="4"/>
        <v>2829659.7259499999</v>
      </c>
      <c r="AV51" s="13">
        <f t="shared" si="4"/>
        <v>3118395.7177284998</v>
      </c>
      <c r="AW51" s="13">
        <f t="shared" si="4"/>
        <v>3037024.9792603548</v>
      </c>
      <c r="AX51" s="13">
        <f t="shared" si="4"/>
        <v>2786782.2036381653</v>
      </c>
      <c r="AY51" s="13">
        <f t="shared" si="4"/>
        <v>2849945.3882473106</v>
      </c>
      <c r="AZ51" s="13">
        <f t="shared" si="4"/>
        <v>2941262.3348947298</v>
      </c>
      <c r="BA51" s="13">
        <f t="shared" si="4"/>
        <v>2972515.649941572</v>
      </c>
      <c r="BB51" s="13">
        <f t="shared" si="4"/>
        <v>2652809.9944398189</v>
      </c>
      <c r="BC51" s="13">
        <f t="shared" si="4"/>
        <v>3142704.0842730133</v>
      </c>
      <c r="BD51" s="13">
        <f t="shared" si="4"/>
        <v>3248730.8703715</v>
      </c>
      <c r="BE51" s="13">
        <f t="shared" si="4"/>
        <v>3015870.0528600002</v>
      </c>
      <c r="BF51" s="13">
        <f t="shared" si="4"/>
        <v>3073794.4931689999</v>
      </c>
      <c r="BG51" s="13">
        <f t="shared" si="4"/>
        <v>3013723.2177284998</v>
      </c>
      <c r="BH51" s="13">
        <f t="shared" si="4"/>
        <v>3324222.0292603546</v>
      </c>
      <c r="BI51" s="13">
        <f t="shared" si="4"/>
        <v>3245433.6286381655</v>
      </c>
      <c r="BJ51" s="13">
        <f t="shared" si="4"/>
        <v>3019464.2697473108</v>
      </c>
      <c r="BK51" s="13">
        <f t="shared" si="4"/>
        <v>2978887.8498947299</v>
      </c>
      <c r="BL51" s="13">
        <f t="shared" si="4"/>
        <v>3113775.984941572</v>
      </c>
      <c r="BM51" s="13">
        <f t="shared" si="4"/>
        <v>3115473.364439819</v>
      </c>
      <c r="BN51" s="13">
        <f>SUBTOTAL(9,BN4:BN47)</f>
        <v>3115828.0392730134</v>
      </c>
      <c r="BO51" s="13">
        <f>SUBTOTAL(9,BO4:BO47)</f>
        <v>162089237.26787055</v>
      </c>
      <c r="BP51" s="13"/>
    </row>
    <row r="52" spans="1:68" s="19" customFormat="1" ht="13" x14ac:dyDescent="0.3">
      <c r="A52" s="15"/>
      <c r="B52" s="15"/>
      <c r="C52" s="24"/>
      <c r="D52" s="24"/>
      <c r="E52" s="24"/>
      <c r="F52" s="24"/>
      <c r="G52" s="24"/>
      <c r="H52" s="16"/>
      <c r="I52" s="16"/>
      <c r="J52" s="16"/>
      <c r="K52" s="16"/>
      <c r="L52" s="16"/>
      <c r="M52" s="16"/>
      <c r="N52" s="16"/>
      <c r="O52" s="16"/>
      <c r="P52" s="13"/>
      <c r="Q52" s="17" t="s">
        <v>116</v>
      </c>
      <c r="R52" s="13">
        <f>SUM(H51:R51)</f>
        <v>27121344.217167333</v>
      </c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7" t="s">
        <v>117</v>
      </c>
      <c r="AD52" s="13">
        <f>SUM(S51:AD51)</f>
        <v>30197381.999613792</v>
      </c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7" t="s">
        <v>118</v>
      </c>
      <c r="AP52" s="13">
        <f>SUM(AE51:AP51)</f>
        <v>32464789.909602202</v>
      </c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7" t="s">
        <v>119</v>
      </c>
      <c r="BB52" s="13">
        <f>SUM(AQ51:BB51)</f>
        <v>34897813.256890267</v>
      </c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7" t="s">
        <v>120</v>
      </c>
      <c r="BN52" s="13">
        <f>SUM(BC51:BN51)</f>
        <v>37407907.884596981</v>
      </c>
      <c r="BO52" s="18"/>
      <c r="BP52" s="18"/>
    </row>
    <row r="53" spans="1:68" ht="13" x14ac:dyDescent="0.3">
      <c r="A53" s="2"/>
      <c r="B53" s="2"/>
      <c r="C53" s="22"/>
      <c r="D53" s="22"/>
      <c r="E53" s="22"/>
      <c r="F53" s="22"/>
      <c r="G53" s="22"/>
      <c r="H53" s="3"/>
      <c r="I53" s="3"/>
      <c r="J53" s="3"/>
      <c r="K53" s="3"/>
      <c r="L53" s="3"/>
      <c r="M53" s="3"/>
      <c r="N53" s="3"/>
      <c r="O53" s="3"/>
      <c r="P53" s="3"/>
      <c r="Q53" s="11" t="s">
        <v>121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8"/>
      <c r="BP53" s="8"/>
    </row>
    <row r="54" spans="1:68" x14ac:dyDescent="0.25">
      <c r="A54" s="2"/>
      <c r="B54" s="2"/>
      <c r="C54" s="22"/>
      <c r="D54" s="22"/>
      <c r="E54" s="22"/>
      <c r="F54" s="22"/>
      <c r="G54" s="2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8"/>
      <c r="BP54" s="8"/>
    </row>
    <row r="55" spans="1:68" ht="13" x14ac:dyDescent="0.3">
      <c r="A55" s="2"/>
      <c r="B55" s="2"/>
      <c r="C55" s="22"/>
      <c r="D55" s="22"/>
      <c r="E55" s="22"/>
      <c r="F55" s="22"/>
      <c r="G55" s="2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20"/>
      <c r="BN55" s="11"/>
      <c r="BO55" s="4"/>
      <c r="BP55" s="4"/>
    </row>
    <row r="56" spans="1:68" x14ac:dyDescent="0.25">
      <c r="A56" s="2"/>
      <c r="B56" s="2"/>
      <c r="C56" s="22"/>
      <c r="D56" s="22"/>
      <c r="E56" s="22"/>
      <c r="F56" s="22"/>
      <c r="G56" s="2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8"/>
      <c r="BP56" s="8"/>
    </row>
    <row r="57" spans="1:68" x14ac:dyDescent="0.25">
      <c r="A57" s="2"/>
      <c r="B57" s="2"/>
      <c r="C57" s="22"/>
      <c r="D57" s="22"/>
      <c r="E57" s="22"/>
      <c r="F57" s="22"/>
      <c r="G57" s="2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8"/>
      <c r="BP57" s="8"/>
    </row>
    <row r="58" spans="1:68" x14ac:dyDescent="0.25">
      <c r="A58" s="2"/>
      <c r="B58" s="2"/>
      <c r="C58" s="22"/>
      <c r="D58" s="22"/>
      <c r="E58" s="22"/>
      <c r="F58" s="22"/>
      <c r="G58" s="2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21"/>
      <c r="BP58" s="21"/>
    </row>
    <row r="59" spans="1:68" x14ac:dyDescent="0.25">
      <c r="A59" s="2"/>
      <c r="B59" s="2"/>
      <c r="C59" s="22"/>
      <c r="D59" s="22"/>
      <c r="E59" s="22"/>
      <c r="F59" s="22"/>
      <c r="G59" s="22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8"/>
      <c r="BP59" s="8"/>
    </row>
    <row r="60" spans="1:68" x14ac:dyDescent="0.25">
      <c r="A60" s="2"/>
      <c r="B60" s="2"/>
      <c r="C60" s="22"/>
      <c r="D60" s="22"/>
      <c r="E60" s="22"/>
      <c r="F60" s="22"/>
      <c r="G60" s="22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8"/>
      <c r="BP60" s="8"/>
    </row>
    <row r="61" spans="1:68" x14ac:dyDescent="0.25">
      <c r="A61" s="2"/>
      <c r="B61" s="2"/>
      <c r="C61" s="22"/>
      <c r="D61" s="22"/>
      <c r="E61" s="22"/>
      <c r="F61" s="22"/>
      <c r="G61" s="2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8"/>
      <c r="BP61" s="8"/>
    </row>
    <row r="62" spans="1:68" x14ac:dyDescent="0.25">
      <c r="A62" s="2"/>
      <c r="B62" s="2"/>
      <c r="C62" s="22"/>
      <c r="D62" s="22"/>
      <c r="E62" s="22"/>
      <c r="F62" s="22"/>
      <c r="G62" s="2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8"/>
      <c r="BP62" s="8"/>
    </row>
    <row r="63" spans="1:68" x14ac:dyDescent="0.25">
      <c r="A63" s="2"/>
      <c r="B63" s="2"/>
      <c r="C63" s="22"/>
      <c r="D63" s="22"/>
      <c r="E63" s="22"/>
      <c r="F63" s="22"/>
      <c r="G63" s="2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8"/>
      <c r="BP63" s="8"/>
    </row>
    <row r="64" spans="1:68" x14ac:dyDescent="0.25">
      <c r="A64" s="2"/>
      <c r="B64" s="2"/>
      <c r="C64" s="22"/>
      <c r="D64" s="22"/>
      <c r="E64" s="22"/>
      <c r="F64" s="22"/>
      <c r="G64" s="2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8"/>
      <c r="BP64" s="8"/>
    </row>
    <row r="65" spans="1:68" x14ac:dyDescent="0.25">
      <c r="A65" s="2"/>
      <c r="B65" s="2"/>
      <c r="C65" s="22"/>
      <c r="D65" s="22"/>
      <c r="E65" s="22"/>
      <c r="F65" s="22"/>
      <c r="G65" s="2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8"/>
      <c r="BP65" s="8"/>
    </row>
    <row r="66" spans="1:68" x14ac:dyDescent="0.25">
      <c r="A66" s="2"/>
      <c r="B66" s="2"/>
      <c r="C66" s="22"/>
      <c r="D66" s="22"/>
      <c r="E66" s="22"/>
      <c r="F66" s="22"/>
      <c r="G66" s="2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8"/>
      <c r="BP66" s="8"/>
    </row>
    <row r="67" spans="1:68" x14ac:dyDescent="0.25">
      <c r="A67" s="2"/>
      <c r="B67" s="2"/>
      <c r="C67" s="22"/>
      <c r="D67" s="22"/>
      <c r="E67" s="22"/>
      <c r="F67" s="22"/>
      <c r="G67" s="2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8"/>
      <c r="BP67" s="8"/>
    </row>
    <row r="68" spans="1:68" x14ac:dyDescent="0.25">
      <c r="A68" s="2"/>
      <c r="B68" s="2"/>
      <c r="C68" s="22"/>
      <c r="D68" s="22"/>
      <c r="E68" s="22"/>
      <c r="F68" s="22"/>
      <c r="G68" s="2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8"/>
      <c r="BP68" s="8"/>
    </row>
    <row r="69" spans="1:68" x14ac:dyDescent="0.25">
      <c r="A69" s="2"/>
      <c r="B69" s="2"/>
      <c r="C69" s="22"/>
      <c r="D69" s="22"/>
      <c r="E69" s="22"/>
      <c r="F69" s="22"/>
      <c r="G69" s="2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8"/>
      <c r="BP69" s="8"/>
    </row>
    <row r="70" spans="1:68" x14ac:dyDescent="0.25">
      <c r="A70" s="2"/>
      <c r="B70" s="2"/>
      <c r="C70" s="22"/>
      <c r="D70" s="22"/>
      <c r="E70" s="22"/>
      <c r="F70" s="22"/>
      <c r="G70" s="2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8"/>
      <c r="BP70" s="8"/>
    </row>
    <row r="71" spans="1:68" x14ac:dyDescent="0.25">
      <c r="A71" s="2"/>
      <c r="B71" s="2"/>
      <c r="C71" s="22"/>
      <c r="D71" s="22"/>
      <c r="E71" s="22"/>
      <c r="F71" s="22"/>
      <c r="G71" s="2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8"/>
      <c r="BP71" s="8"/>
    </row>
    <row r="72" spans="1:68" x14ac:dyDescent="0.25">
      <c r="A72" s="2"/>
      <c r="B72" s="2"/>
      <c r="C72" s="22"/>
      <c r="D72" s="22"/>
      <c r="E72" s="22"/>
      <c r="F72" s="22"/>
      <c r="G72" s="2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8"/>
      <c r="BP72" s="8"/>
    </row>
    <row r="73" spans="1:68" x14ac:dyDescent="0.25">
      <c r="A73" s="2"/>
      <c r="B73" s="2"/>
      <c r="C73" s="22"/>
      <c r="D73" s="22"/>
      <c r="E73" s="22"/>
      <c r="F73" s="22"/>
      <c r="G73" s="2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8"/>
      <c r="BP73" s="8"/>
    </row>
    <row r="74" spans="1:68" x14ac:dyDescent="0.25">
      <c r="A74" s="2"/>
      <c r="B74" s="2"/>
      <c r="C74" s="22"/>
      <c r="D74" s="22"/>
      <c r="E74" s="22"/>
      <c r="F74" s="22"/>
      <c r="G74" s="2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8"/>
      <c r="BP74" s="8"/>
    </row>
    <row r="75" spans="1:68" x14ac:dyDescent="0.25">
      <c r="A75" s="2"/>
      <c r="B75" s="2"/>
      <c r="C75" s="22"/>
      <c r="D75" s="22"/>
      <c r="E75" s="22"/>
      <c r="F75" s="22"/>
      <c r="G75" s="2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8"/>
      <c r="BP75" s="8"/>
    </row>
    <row r="76" spans="1:68" x14ac:dyDescent="0.25">
      <c r="A76" s="2"/>
      <c r="B76" s="2"/>
      <c r="C76" s="22"/>
      <c r="D76" s="22"/>
      <c r="E76" s="22"/>
      <c r="F76" s="22"/>
      <c r="G76" s="2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8"/>
      <c r="BP76" s="8"/>
    </row>
    <row r="77" spans="1:68" x14ac:dyDescent="0.25">
      <c r="A77" s="2"/>
      <c r="B77" s="2"/>
      <c r="C77" s="22"/>
      <c r="D77" s="22"/>
      <c r="E77" s="22"/>
      <c r="F77" s="22"/>
      <c r="G77" s="2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8"/>
      <c r="BP77" s="8"/>
    </row>
    <row r="78" spans="1:68" x14ac:dyDescent="0.25">
      <c r="A78" s="2"/>
      <c r="B78" s="2"/>
      <c r="C78" s="22"/>
      <c r="D78" s="22"/>
      <c r="E78" s="22"/>
      <c r="F78" s="22"/>
      <c r="G78" s="2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8"/>
      <c r="BP78" s="8"/>
    </row>
    <row r="79" spans="1:68" x14ac:dyDescent="0.25">
      <c r="A79" s="2"/>
      <c r="B79" s="2"/>
      <c r="C79" s="22"/>
      <c r="D79" s="22"/>
      <c r="E79" s="22"/>
      <c r="F79" s="22"/>
      <c r="G79" s="2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8"/>
      <c r="BP79" s="8"/>
    </row>
    <row r="80" spans="1:68" x14ac:dyDescent="0.25">
      <c r="A80" s="2"/>
      <c r="B80" s="2"/>
      <c r="C80" s="22"/>
      <c r="D80" s="22"/>
      <c r="E80" s="22"/>
      <c r="F80" s="22"/>
      <c r="G80" s="2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8"/>
      <c r="BP80" s="8"/>
    </row>
    <row r="81" spans="1:68" x14ac:dyDescent="0.25">
      <c r="A81" s="2"/>
      <c r="B81" s="2"/>
      <c r="C81" s="22"/>
      <c r="D81" s="22"/>
      <c r="E81" s="22"/>
      <c r="F81" s="22"/>
      <c r="G81" s="2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8"/>
      <c r="BP81" s="8"/>
    </row>
    <row r="82" spans="1:68" x14ac:dyDescent="0.25">
      <c r="A82" s="2"/>
      <c r="B82" s="2"/>
      <c r="C82" s="22"/>
      <c r="D82" s="22"/>
      <c r="E82" s="22"/>
      <c r="F82" s="22"/>
      <c r="G82" s="2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8"/>
      <c r="BP82" s="8"/>
    </row>
    <row r="83" spans="1:68" x14ac:dyDescent="0.25">
      <c r="A83" s="2"/>
      <c r="B83" s="2"/>
      <c r="C83" s="22"/>
      <c r="D83" s="22"/>
      <c r="E83" s="22"/>
      <c r="F83" s="22"/>
      <c r="G83" s="2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8"/>
      <c r="BP83" s="8"/>
    </row>
    <row r="84" spans="1:68" x14ac:dyDescent="0.25">
      <c r="A84" s="2"/>
      <c r="B84" s="2"/>
      <c r="C84" s="22"/>
      <c r="D84" s="22"/>
      <c r="E84" s="22"/>
      <c r="F84" s="22"/>
      <c r="G84" s="2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8"/>
      <c r="BP84" s="8"/>
    </row>
    <row r="85" spans="1:68" x14ac:dyDescent="0.25">
      <c r="A85" s="2"/>
      <c r="B85" s="2"/>
      <c r="C85" s="22"/>
      <c r="D85" s="22"/>
      <c r="E85" s="22"/>
      <c r="F85" s="22"/>
      <c r="G85" s="2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8"/>
      <c r="BP85" s="8"/>
    </row>
    <row r="86" spans="1:68" x14ac:dyDescent="0.25">
      <c r="A86" s="2"/>
      <c r="B86" s="2"/>
      <c r="C86" s="22"/>
      <c r="D86" s="22"/>
      <c r="E86" s="22"/>
      <c r="F86" s="22"/>
      <c r="G86" s="2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8"/>
      <c r="BP86" s="8"/>
    </row>
    <row r="87" spans="1:68" x14ac:dyDescent="0.25">
      <c r="A87" s="2"/>
      <c r="B87" s="2"/>
      <c r="C87" s="22"/>
      <c r="D87" s="22"/>
      <c r="E87" s="22"/>
      <c r="F87" s="22"/>
      <c r="G87" s="2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8"/>
      <c r="BP87" s="8"/>
    </row>
    <row r="88" spans="1:68" x14ac:dyDescent="0.25">
      <c r="A88" s="2"/>
      <c r="B88" s="2"/>
      <c r="C88" s="22"/>
      <c r="D88" s="22"/>
      <c r="E88" s="22"/>
      <c r="F88" s="22"/>
      <c r="G88" s="2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8"/>
      <c r="BP88" s="8"/>
    </row>
    <row r="89" spans="1:68" x14ac:dyDescent="0.25">
      <c r="A89" s="2"/>
      <c r="B89" s="2"/>
      <c r="C89" s="22"/>
      <c r="D89" s="22"/>
      <c r="E89" s="22"/>
      <c r="F89" s="22"/>
      <c r="G89" s="2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8"/>
      <c r="BP89" s="8"/>
    </row>
    <row r="90" spans="1:68" x14ac:dyDescent="0.25">
      <c r="A90" s="2"/>
      <c r="B90" s="2"/>
      <c r="C90" s="22"/>
      <c r="D90" s="22"/>
      <c r="E90" s="22"/>
      <c r="F90" s="22"/>
      <c r="G90" s="2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8"/>
      <c r="BP90" s="8"/>
    </row>
    <row r="91" spans="1:68" x14ac:dyDescent="0.25">
      <c r="A91" s="2"/>
      <c r="B91" s="2"/>
      <c r="C91" s="22"/>
      <c r="D91" s="22"/>
      <c r="E91" s="22"/>
      <c r="F91" s="22"/>
      <c r="G91" s="2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8"/>
      <c r="BP91" s="8"/>
    </row>
    <row r="92" spans="1:68" x14ac:dyDescent="0.25">
      <c r="A92" s="2"/>
      <c r="B92" s="2"/>
      <c r="C92" s="22"/>
      <c r="D92" s="22"/>
      <c r="E92" s="22"/>
      <c r="F92" s="22"/>
      <c r="G92" s="2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8"/>
      <c r="BP92" s="8"/>
    </row>
    <row r="93" spans="1:68" x14ac:dyDescent="0.25">
      <c r="A93" s="2"/>
      <c r="B93" s="2"/>
      <c r="C93" s="22"/>
      <c r="D93" s="22"/>
      <c r="E93" s="22"/>
      <c r="F93" s="22"/>
      <c r="G93" s="2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8"/>
      <c r="BP93" s="8"/>
    </row>
    <row r="94" spans="1:68" x14ac:dyDescent="0.25">
      <c r="A94" s="2"/>
      <c r="B94" s="2"/>
      <c r="C94" s="22"/>
      <c r="D94" s="22"/>
      <c r="E94" s="22"/>
      <c r="F94" s="22"/>
      <c r="G94" s="2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8"/>
      <c r="BP94" s="8"/>
    </row>
    <row r="95" spans="1:68" x14ac:dyDescent="0.25">
      <c r="A95" s="2"/>
      <c r="B95" s="2"/>
      <c r="C95" s="22"/>
      <c r="D95" s="22"/>
      <c r="E95" s="22"/>
      <c r="F95" s="22"/>
      <c r="G95" s="2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8"/>
      <c r="BP95" s="8"/>
    </row>
    <row r="96" spans="1:68" x14ac:dyDescent="0.25">
      <c r="A96" s="2"/>
      <c r="B96" s="2"/>
      <c r="C96" s="22"/>
      <c r="D96" s="22"/>
      <c r="E96" s="22"/>
      <c r="F96" s="22"/>
      <c r="G96" s="2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8"/>
      <c r="BP96" s="8"/>
    </row>
    <row r="97" spans="1:68" x14ac:dyDescent="0.25">
      <c r="A97" s="2"/>
      <c r="B97" s="2"/>
      <c r="C97" s="22"/>
      <c r="D97" s="22"/>
      <c r="E97" s="22"/>
      <c r="F97" s="22"/>
      <c r="G97" s="2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8"/>
      <c r="BP97" s="8"/>
    </row>
    <row r="98" spans="1:68" x14ac:dyDescent="0.25">
      <c r="A98" s="2"/>
      <c r="B98" s="2"/>
      <c r="C98" s="22"/>
      <c r="D98" s="22"/>
      <c r="E98" s="22"/>
      <c r="F98" s="22"/>
      <c r="G98" s="2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8"/>
      <c r="BP98" s="8"/>
    </row>
    <row r="99" spans="1:68" x14ac:dyDescent="0.25">
      <c r="A99" s="2"/>
      <c r="B99" s="2"/>
      <c r="C99" s="22"/>
      <c r="D99" s="22"/>
      <c r="E99" s="22"/>
      <c r="F99" s="22"/>
      <c r="G99" s="2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8"/>
      <c r="BP99" s="8"/>
    </row>
    <row r="100" spans="1:68" x14ac:dyDescent="0.25">
      <c r="A100" s="2"/>
      <c r="B100" s="2"/>
      <c r="C100" s="22"/>
      <c r="D100" s="22"/>
      <c r="E100" s="22"/>
      <c r="F100" s="22"/>
      <c r="G100" s="2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8"/>
      <c r="BP100" s="8"/>
    </row>
    <row r="101" spans="1:68" x14ac:dyDescent="0.25">
      <c r="A101" s="2"/>
      <c r="B101" s="2"/>
      <c r="C101" s="22"/>
      <c r="D101" s="22"/>
      <c r="E101" s="22"/>
      <c r="F101" s="22"/>
      <c r="G101" s="2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8"/>
      <c r="BP101" s="8"/>
    </row>
    <row r="102" spans="1:68" x14ac:dyDescent="0.25">
      <c r="A102" s="2"/>
      <c r="B102" s="2"/>
      <c r="C102" s="22"/>
      <c r="D102" s="22"/>
      <c r="E102" s="22"/>
      <c r="F102" s="22"/>
      <c r="G102" s="2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8"/>
      <c r="BP102" s="8"/>
    </row>
    <row r="103" spans="1:68" x14ac:dyDescent="0.25">
      <c r="A103" s="2"/>
      <c r="B103" s="2"/>
      <c r="C103" s="22"/>
      <c r="D103" s="22"/>
      <c r="E103" s="22"/>
      <c r="F103" s="22"/>
      <c r="G103" s="2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8"/>
      <c r="BP103" s="8"/>
    </row>
    <row r="104" spans="1:68" x14ac:dyDescent="0.25">
      <c r="A104" s="2"/>
      <c r="B104" s="2"/>
      <c r="C104" s="22"/>
      <c r="D104" s="22"/>
      <c r="E104" s="22"/>
      <c r="F104" s="22"/>
      <c r="G104" s="2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8"/>
      <c r="BP104" s="8"/>
    </row>
    <row r="105" spans="1:68" x14ac:dyDescent="0.25">
      <c r="A105" s="2"/>
      <c r="B105" s="2"/>
      <c r="C105" s="22"/>
      <c r="D105" s="22"/>
      <c r="E105" s="22"/>
      <c r="F105" s="22"/>
      <c r="G105" s="2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8"/>
      <c r="BP105" s="8"/>
    </row>
    <row r="106" spans="1:68" x14ac:dyDescent="0.25">
      <c r="A106" s="2"/>
      <c r="B106" s="2"/>
      <c r="C106" s="22"/>
      <c r="D106" s="22"/>
      <c r="E106" s="22"/>
      <c r="F106" s="22"/>
      <c r="G106" s="2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8"/>
      <c r="BP106" s="8"/>
    </row>
    <row r="107" spans="1:68" x14ac:dyDescent="0.25">
      <c r="A107" s="2"/>
      <c r="B107" s="2"/>
      <c r="C107" s="22"/>
      <c r="D107" s="22"/>
      <c r="E107" s="22"/>
      <c r="F107" s="22"/>
      <c r="G107" s="2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8"/>
      <c r="BP107" s="8"/>
    </row>
    <row r="108" spans="1:68" x14ac:dyDescent="0.25">
      <c r="A108" s="2"/>
      <c r="B108" s="2"/>
      <c r="C108" s="22"/>
      <c r="D108" s="22"/>
      <c r="E108" s="22"/>
      <c r="F108" s="22"/>
      <c r="G108" s="2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8"/>
      <c r="BP108" s="8"/>
    </row>
    <row r="109" spans="1:68" x14ac:dyDescent="0.25">
      <c r="A109" s="2"/>
      <c r="B109" s="2"/>
      <c r="C109" s="22"/>
      <c r="D109" s="22"/>
      <c r="E109" s="22"/>
      <c r="F109" s="22"/>
      <c r="G109" s="2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8"/>
      <c r="BP109" s="8"/>
    </row>
    <row r="110" spans="1:68" x14ac:dyDescent="0.25">
      <c r="A110" s="2"/>
      <c r="B110" s="2"/>
      <c r="C110" s="22"/>
      <c r="D110" s="22"/>
      <c r="E110" s="22"/>
      <c r="F110" s="22"/>
      <c r="G110" s="2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8"/>
      <c r="BP110" s="8"/>
    </row>
    <row r="111" spans="1:68" x14ac:dyDescent="0.25">
      <c r="A111" s="2"/>
      <c r="B111" s="2"/>
      <c r="C111" s="22"/>
      <c r="D111" s="22"/>
      <c r="E111" s="22"/>
      <c r="F111" s="22"/>
      <c r="G111" s="2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8"/>
      <c r="BP111" s="8"/>
    </row>
    <row r="112" spans="1:68" x14ac:dyDescent="0.25">
      <c r="A112" s="2"/>
      <c r="B112" s="2"/>
      <c r="C112" s="22"/>
      <c r="D112" s="22"/>
      <c r="E112" s="22"/>
      <c r="F112" s="22"/>
      <c r="G112" s="2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8"/>
      <c r="BP112" s="8"/>
    </row>
    <row r="113" spans="1:68" x14ac:dyDescent="0.25">
      <c r="A113" s="2"/>
      <c r="B113" s="2"/>
      <c r="C113" s="22"/>
      <c r="D113" s="22"/>
      <c r="E113" s="22"/>
      <c r="F113" s="22"/>
      <c r="G113" s="2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8"/>
      <c r="BP113" s="8"/>
    </row>
    <row r="114" spans="1:68" x14ac:dyDescent="0.25">
      <c r="A114" s="2"/>
      <c r="B114" s="2"/>
      <c r="C114" s="22"/>
      <c r="D114" s="22"/>
      <c r="E114" s="22"/>
      <c r="F114" s="22"/>
      <c r="G114" s="2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8"/>
      <c r="BP114" s="8"/>
    </row>
    <row r="115" spans="1:68" x14ac:dyDescent="0.25">
      <c r="A115" s="2"/>
      <c r="B115" s="2"/>
      <c r="C115" s="22"/>
      <c r="D115" s="22"/>
      <c r="E115" s="22"/>
      <c r="F115" s="22"/>
      <c r="G115" s="2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8"/>
      <c r="BP115" s="8"/>
    </row>
    <row r="116" spans="1:68" x14ac:dyDescent="0.25">
      <c r="A116" s="2"/>
      <c r="B116" s="2"/>
      <c r="C116" s="22"/>
      <c r="D116" s="22"/>
      <c r="E116" s="22"/>
      <c r="F116" s="22"/>
      <c r="G116" s="2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8"/>
      <c r="BP116" s="8"/>
    </row>
    <row r="117" spans="1:68" x14ac:dyDescent="0.25">
      <c r="A117" s="2"/>
      <c r="B117" s="2"/>
      <c r="C117" s="22"/>
      <c r="D117" s="22"/>
      <c r="E117" s="22"/>
      <c r="F117" s="22"/>
      <c r="G117" s="2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8"/>
      <c r="BP117" s="8"/>
    </row>
    <row r="118" spans="1:68" x14ac:dyDescent="0.25">
      <c r="A118" s="2"/>
      <c r="B118" s="2"/>
      <c r="C118" s="22"/>
      <c r="D118" s="22"/>
      <c r="E118" s="22"/>
      <c r="F118" s="22"/>
      <c r="G118" s="2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8"/>
      <c r="BP118" s="8"/>
    </row>
    <row r="119" spans="1:68" x14ac:dyDescent="0.25">
      <c r="A119" s="2"/>
      <c r="B119" s="2"/>
      <c r="C119" s="22"/>
      <c r="D119" s="22"/>
      <c r="E119" s="22"/>
      <c r="F119" s="22"/>
      <c r="G119" s="2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8"/>
      <c r="BP119" s="8"/>
    </row>
    <row r="120" spans="1:68" x14ac:dyDescent="0.25">
      <c r="A120" s="2"/>
      <c r="B120" s="2"/>
      <c r="C120" s="22"/>
      <c r="D120" s="22"/>
      <c r="E120" s="22"/>
      <c r="F120" s="22"/>
      <c r="G120" s="2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8"/>
      <c r="BP120" s="8"/>
    </row>
    <row r="121" spans="1:68" x14ac:dyDescent="0.25">
      <c r="A121" s="2"/>
      <c r="B121" s="2"/>
      <c r="C121" s="22"/>
      <c r="D121" s="22"/>
      <c r="E121" s="22"/>
      <c r="F121" s="22"/>
      <c r="G121" s="2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8"/>
      <c r="BP121" s="8"/>
    </row>
    <row r="122" spans="1:68" x14ac:dyDescent="0.25">
      <c r="A122" s="2"/>
      <c r="B122" s="2"/>
      <c r="C122" s="22"/>
      <c r="D122" s="22"/>
      <c r="E122" s="22"/>
      <c r="F122" s="22"/>
      <c r="G122" s="2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8"/>
      <c r="BP122" s="8"/>
    </row>
    <row r="123" spans="1:68" x14ac:dyDescent="0.25">
      <c r="A123" s="2"/>
      <c r="B123" s="2"/>
      <c r="C123" s="22"/>
      <c r="D123" s="22"/>
      <c r="E123" s="22"/>
      <c r="F123" s="22"/>
      <c r="G123" s="2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8"/>
      <c r="BP123" s="8"/>
    </row>
    <row r="124" spans="1:68" x14ac:dyDescent="0.25">
      <c r="A124" s="2"/>
      <c r="B124" s="2"/>
      <c r="C124" s="22"/>
      <c r="D124" s="22"/>
      <c r="E124" s="22"/>
      <c r="F124" s="22"/>
      <c r="G124" s="2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8"/>
      <c r="BP124" s="8"/>
    </row>
    <row r="125" spans="1:68" x14ac:dyDescent="0.25">
      <c r="A125" s="2"/>
      <c r="B125" s="2"/>
      <c r="C125" s="22"/>
      <c r="D125" s="22"/>
      <c r="E125" s="22"/>
      <c r="F125" s="22"/>
      <c r="G125" s="2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8"/>
      <c r="BP125" s="8"/>
    </row>
    <row r="126" spans="1:68" x14ac:dyDescent="0.25">
      <c r="A126" s="2"/>
      <c r="B126" s="2"/>
      <c r="C126" s="22"/>
      <c r="D126" s="22"/>
      <c r="E126" s="22"/>
      <c r="F126" s="22"/>
      <c r="G126" s="2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8"/>
      <c r="BP126" s="8"/>
    </row>
    <row r="127" spans="1:68" x14ac:dyDescent="0.25">
      <c r="A127" s="2"/>
      <c r="B127" s="2"/>
      <c r="C127" s="22"/>
      <c r="D127" s="22"/>
      <c r="E127" s="22"/>
      <c r="F127" s="22"/>
      <c r="G127" s="2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8"/>
      <c r="BP127" s="8"/>
    </row>
    <row r="128" spans="1:68" x14ac:dyDescent="0.25">
      <c r="A128" s="2"/>
      <c r="B128" s="2"/>
      <c r="C128" s="22"/>
      <c r="D128" s="22"/>
      <c r="E128" s="22"/>
      <c r="F128" s="22"/>
      <c r="G128" s="2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8"/>
      <c r="BP128" s="8"/>
    </row>
    <row r="129" spans="1:68" x14ac:dyDescent="0.25">
      <c r="A129" s="2"/>
      <c r="B129" s="2"/>
      <c r="C129" s="22"/>
      <c r="D129" s="22"/>
      <c r="E129" s="22"/>
      <c r="F129" s="22"/>
      <c r="G129" s="2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8"/>
      <c r="BP129" s="8"/>
    </row>
    <row r="130" spans="1:68" x14ac:dyDescent="0.25">
      <c r="A130" s="2"/>
      <c r="B130" s="2"/>
      <c r="C130" s="22"/>
      <c r="D130" s="22"/>
      <c r="E130" s="22"/>
      <c r="F130" s="22"/>
      <c r="G130" s="2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8"/>
      <c r="BP130" s="8"/>
    </row>
    <row r="131" spans="1:68" x14ac:dyDescent="0.25">
      <c r="A131" s="2"/>
      <c r="B131" s="2"/>
      <c r="C131" s="22"/>
      <c r="D131" s="22"/>
      <c r="E131" s="22"/>
      <c r="F131" s="22"/>
      <c r="G131" s="2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8"/>
      <c r="BP131" s="8"/>
    </row>
    <row r="132" spans="1:68" x14ac:dyDescent="0.25">
      <c r="A132" s="2"/>
      <c r="B132" s="2"/>
      <c r="C132" s="22"/>
      <c r="D132" s="22"/>
      <c r="E132" s="22"/>
      <c r="F132" s="22"/>
      <c r="G132" s="2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8"/>
      <c r="BP132" s="8"/>
    </row>
    <row r="133" spans="1:68" x14ac:dyDescent="0.25">
      <c r="A133" s="2"/>
      <c r="B133" s="2"/>
      <c r="C133" s="22"/>
      <c r="D133" s="22"/>
      <c r="E133" s="22"/>
      <c r="F133" s="22"/>
      <c r="G133" s="2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8"/>
      <c r="BP133" s="8"/>
    </row>
    <row r="134" spans="1:68" x14ac:dyDescent="0.25">
      <c r="A134" s="2"/>
      <c r="B134" s="2"/>
      <c r="C134" s="22"/>
      <c r="D134" s="22"/>
      <c r="E134" s="22"/>
      <c r="F134" s="22"/>
      <c r="G134" s="2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8"/>
      <c r="BP134" s="8"/>
    </row>
    <row r="135" spans="1:68" x14ac:dyDescent="0.25">
      <c r="A135" s="2"/>
      <c r="B135" s="2"/>
      <c r="C135" s="22"/>
      <c r="D135" s="22"/>
      <c r="E135" s="22"/>
      <c r="F135" s="22"/>
      <c r="G135" s="2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8"/>
      <c r="BP135" s="8"/>
    </row>
    <row r="136" spans="1:68" x14ac:dyDescent="0.25">
      <c r="A136" s="2"/>
      <c r="B136" s="2"/>
      <c r="C136" s="22"/>
      <c r="D136" s="22"/>
      <c r="E136" s="22"/>
      <c r="F136" s="22"/>
      <c r="G136" s="2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8"/>
      <c r="BP136" s="8"/>
    </row>
    <row r="137" spans="1:68" x14ac:dyDescent="0.25">
      <c r="A137" s="2"/>
      <c r="B137" s="2"/>
      <c r="C137" s="22"/>
      <c r="D137" s="22"/>
      <c r="E137" s="22"/>
      <c r="F137" s="22"/>
      <c r="G137" s="2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8"/>
      <c r="BP137" s="8"/>
    </row>
    <row r="138" spans="1:68" x14ac:dyDescent="0.25">
      <c r="A138" s="2"/>
      <c r="B138" s="2"/>
      <c r="C138" s="22"/>
      <c r="D138" s="22"/>
      <c r="E138" s="22"/>
      <c r="F138" s="22"/>
      <c r="G138" s="2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8"/>
      <c r="BP138" s="8"/>
    </row>
    <row r="139" spans="1:68" x14ac:dyDescent="0.25">
      <c r="A139" s="2"/>
      <c r="B139" s="2"/>
      <c r="C139" s="22"/>
      <c r="D139" s="22"/>
      <c r="E139" s="22"/>
      <c r="F139" s="22"/>
      <c r="G139" s="2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8"/>
      <c r="BP139" s="8"/>
    </row>
    <row r="140" spans="1:68" x14ac:dyDescent="0.25">
      <c r="A140" s="2"/>
      <c r="B140" s="2"/>
      <c r="C140" s="22"/>
      <c r="D140" s="22"/>
      <c r="E140" s="22"/>
      <c r="F140" s="22"/>
      <c r="G140" s="2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8"/>
      <c r="BP140" s="8"/>
    </row>
    <row r="141" spans="1:68" x14ac:dyDescent="0.25">
      <c r="A141" s="2"/>
      <c r="B141" s="2"/>
      <c r="C141" s="22"/>
      <c r="D141" s="22"/>
      <c r="E141" s="22"/>
      <c r="F141" s="22"/>
      <c r="G141" s="2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8"/>
      <c r="BP141" s="8"/>
    </row>
    <row r="142" spans="1:68" x14ac:dyDescent="0.25">
      <c r="A142" s="2"/>
      <c r="B142" s="2"/>
      <c r="C142" s="22"/>
      <c r="D142" s="22"/>
      <c r="E142" s="22"/>
      <c r="F142" s="22"/>
      <c r="G142" s="2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</row>
    <row r="143" spans="1:68" s="5" customFormat="1" ht="13" x14ac:dyDescent="0.3">
      <c r="C143" s="7"/>
      <c r="D143" s="7"/>
      <c r="E143" s="7"/>
      <c r="F143" s="7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</row>
    <row r="144" spans="1:68" ht="13" x14ac:dyDescent="0.3">
      <c r="R144" s="9"/>
      <c r="AD144" s="4"/>
      <c r="AP144" s="4"/>
      <c r="BB144" s="4"/>
      <c r="BN144" s="4"/>
    </row>
    <row r="145" spans="8:66" ht="13" x14ac:dyDescent="0.3">
      <c r="R145" s="7"/>
    </row>
    <row r="147" spans="8:66" ht="14.5" x14ac:dyDescent="0.35"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</row>
  </sheetData>
  <autoFilter ref="A3:BO49" xr:uid="{CCBEBA92-ECEC-4749-9912-E295587315FF}"/>
  <phoneticPr fontId="1" type="noConversion"/>
  <pageMargins left="0.7" right="0.7" top="0.75" bottom="0.75" header="0.3" footer="0.3"/>
  <ignoredErrors>
    <ignoredError sqref="BO4:BO22 BO23:BO4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1371-1E05-4871-93CD-67963B8DD3BE}">
  <dimension ref="A1:DU79"/>
  <sheetViews>
    <sheetView tabSelected="1" workbookViewId="0">
      <pane xSplit="4" topLeftCell="E1" activePane="topRight" state="frozen"/>
      <selection pane="topRight" activeCell="E85" sqref="E85"/>
    </sheetView>
  </sheetViews>
  <sheetFormatPr defaultColWidth="8.7265625" defaultRowHeight="12.5" x14ac:dyDescent="0.25"/>
  <cols>
    <col min="1" max="1" width="15.81640625" style="30" bestFit="1" customWidth="1"/>
    <col min="2" max="2" width="14.54296875" style="30" bestFit="1" customWidth="1"/>
    <col min="3" max="3" width="30.7265625" style="30" bestFit="1" customWidth="1"/>
    <col min="4" max="4" width="35.26953125" style="30" bestFit="1" customWidth="1"/>
    <col min="5" max="5" width="23.81640625" style="30" customWidth="1"/>
    <col min="6" max="6" width="28.453125" style="30" customWidth="1"/>
    <col min="7" max="7" width="32.453125" style="30" customWidth="1"/>
    <col min="8" max="8" width="29.7265625" style="30" customWidth="1"/>
    <col min="9" max="9" width="31.54296875" style="30" customWidth="1"/>
    <col min="10" max="10" width="29.453125" style="30" customWidth="1"/>
    <col min="11" max="11" width="31.453125" style="30" customWidth="1"/>
    <col min="12" max="12" width="29.81640625" style="30" customWidth="1"/>
    <col min="13" max="13" width="31.7265625" style="30" customWidth="1"/>
    <col min="14" max="14" width="29.7265625" style="30" customWidth="1"/>
    <col min="15" max="15" width="31.54296875" style="30" customWidth="1"/>
    <col min="16" max="16" width="29.453125" style="30" customWidth="1"/>
    <col min="17" max="17" width="31.453125" style="30" customWidth="1"/>
    <col min="18" max="18" width="29.54296875" style="30" customWidth="1"/>
    <col min="19" max="19" width="31.54296875" style="30" customWidth="1"/>
    <col min="20" max="20" width="29.7265625" style="30" customWidth="1"/>
    <col min="21" max="21" width="31.54296875" style="30" customWidth="1"/>
    <col min="22" max="22" width="29.453125" style="30" customWidth="1"/>
    <col min="23" max="23" width="31.453125" style="30" customWidth="1"/>
    <col min="24" max="24" width="30" style="30" customWidth="1"/>
    <col min="25" max="25" width="31.81640625" style="30" customWidth="1"/>
    <col min="26" max="26" width="29.54296875" style="30" customWidth="1"/>
    <col min="27" max="27" width="31.54296875" style="30" customWidth="1"/>
    <col min="28" max="28" width="28.81640625" style="30" customWidth="1"/>
    <col min="29" max="29" width="30.81640625" style="30" customWidth="1"/>
    <col min="30" max="30" width="29.81640625" style="30" customWidth="1"/>
    <col min="31" max="31" width="31.7265625" style="30" customWidth="1"/>
    <col min="32" max="32" width="29.7265625" style="30" customWidth="1"/>
    <col min="33" max="33" width="31.54296875" style="30" customWidth="1"/>
    <col min="34" max="34" width="29.453125" style="30" customWidth="1"/>
    <col min="35" max="35" width="31.453125" style="30" customWidth="1"/>
    <col min="36" max="36" width="29.81640625" style="30" customWidth="1"/>
    <col min="37" max="37" width="31.7265625" style="30" customWidth="1"/>
    <col min="38" max="38" width="29.7265625" style="30" customWidth="1"/>
    <col min="39" max="39" width="31.54296875" style="30" customWidth="1"/>
    <col min="40" max="40" width="29.453125" style="30" customWidth="1"/>
    <col min="41" max="41" width="31.453125" style="30" customWidth="1"/>
    <col min="42" max="42" width="29.54296875" style="30" customWidth="1"/>
    <col min="43" max="43" width="31.54296875" style="30" customWidth="1"/>
    <col min="44" max="44" width="29.7265625" style="30" customWidth="1"/>
    <col min="45" max="45" width="31.54296875" style="30" customWidth="1"/>
    <col min="46" max="46" width="29.453125" style="30" customWidth="1"/>
    <col min="47" max="47" width="31.453125" style="30" customWidth="1"/>
    <col min="48" max="48" width="30" style="30" customWidth="1"/>
    <col min="49" max="49" width="31.81640625" style="30" customWidth="1"/>
    <col min="50" max="50" width="29.54296875" style="30" customWidth="1"/>
    <col min="51" max="51" width="31.54296875" style="30" customWidth="1"/>
    <col min="52" max="52" width="28.81640625" style="30" customWidth="1"/>
    <col min="53" max="53" width="30.81640625" style="30" customWidth="1"/>
    <col min="54" max="54" width="29.81640625" style="30" customWidth="1"/>
    <col min="55" max="55" width="31.7265625" style="30" customWidth="1"/>
    <col min="56" max="56" width="29.7265625" style="30" customWidth="1"/>
    <col min="57" max="57" width="31.54296875" style="30" customWidth="1"/>
    <col min="58" max="58" width="29.453125" style="30" customWidth="1"/>
    <col min="59" max="59" width="31.453125" style="30" customWidth="1"/>
    <col min="60" max="60" width="29.81640625" style="30" customWidth="1"/>
    <col min="61" max="61" width="31.7265625" style="30" customWidth="1"/>
    <col min="62" max="62" width="29.7265625" style="30" customWidth="1"/>
    <col min="63" max="63" width="31.54296875" style="30" customWidth="1"/>
    <col min="64" max="64" width="29.453125" style="30" customWidth="1"/>
    <col min="65" max="65" width="31.453125" style="30" customWidth="1"/>
    <col min="66" max="66" width="29.54296875" style="30" customWidth="1"/>
    <col min="67" max="67" width="31.54296875" style="30" customWidth="1"/>
    <col min="68" max="68" width="29.7265625" style="30" customWidth="1"/>
    <col min="69" max="69" width="31.54296875" style="30" customWidth="1"/>
    <col min="70" max="70" width="29.453125" style="30" customWidth="1"/>
    <col min="71" max="71" width="31.453125" style="30" customWidth="1"/>
    <col min="72" max="72" width="30" style="30" customWidth="1"/>
    <col min="73" max="73" width="31.81640625" style="30" customWidth="1"/>
    <col min="74" max="74" width="29.54296875" style="30" customWidth="1"/>
    <col min="75" max="75" width="31.54296875" style="30" customWidth="1"/>
    <col min="76" max="76" width="28.81640625" style="30" customWidth="1"/>
    <col min="77" max="77" width="30.81640625" style="30" customWidth="1"/>
    <col min="78" max="78" width="29.81640625" style="30" customWidth="1"/>
    <col min="79" max="79" width="31.7265625" style="30" customWidth="1"/>
    <col min="80" max="80" width="29.7265625" style="30" customWidth="1"/>
    <col min="81" max="81" width="31.54296875" style="30" customWidth="1"/>
    <col min="82" max="82" width="29.453125" style="30" customWidth="1"/>
    <col min="83" max="83" width="31.453125" style="30" customWidth="1"/>
    <col min="84" max="84" width="29.81640625" style="30" customWidth="1"/>
    <col min="85" max="85" width="31.7265625" style="30" customWidth="1"/>
    <col min="86" max="86" width="29.7265625" style="30" customWidth="1"/>
    <col min="87" max="87" width="31.54296875" style="30" customWidth="1"/>
    <col min="88" max="88" width="29.453125" style="30" customWidth="1"/>
    <col min="89" max="89" width="31.453125" style="30" customWidth="1"/>
    <col min="90" max="90" width="29.54296875" style="30" customWidth="1"/>
    <col min="91" max="91" width="31.54296875" style="30" customWidth="1"/>
    <col min="92" max="92" width="29.7265625" style="30" customWidth="1"/>
    <col min="93" max="93" width="31.54296875" style="30" customWidth="1"/>
    <col min="94" max="94" width="29.453125" style="30" customWidth="1"/>
    <col min="95" max="95" width="31.453125" style="30" customWidth="1"/>
    <col min="96" max="96" width="30" style="30" customWidth="1"/>
    <col min="97" max="97" width="31.81640625" style="30" customWidth="1"/>
    <col min="98" max="98" width="29.54296875" style="30" customWidth="1"/>
    <col min="99" max="99" width="31.54296875" style="30" customWidth="1"/>
    <col min="100" max="100" width="28.81640625" style="30" customWidth="1"/>
    <col min="101" max="101" width="30.81640625" style="30" customWidth="1"/>
    <col min="102" max="102" width="29.81640625" style="30" customWidth="1"/>
    <col min="103" max="103" width="31.7265625" style="30" customWidth="1"/>
    <col min="104" max="104" width="29.7265625" style="30" customWidth="1"/>
    <col min="105" max="105" width="31.54296875" style="30" customWidth="1"/>
    <col min="106" max="106" width="29.453125" style="30" customWidth="1"/>
    <col min="107" max="107" width="31.453125" style="30" customWidth="1"/>
    <col min="108" max="108" width="29.81640625" style="30" customWidth="1"/>
    <col min="109" max="109" width="31.7265625" style="30" customWidth="1"/>
    <col min="110" max="110" width="29.7265625" style="30" customWidth="1"/>
    <col min="111" max="111" width="31.54296875" style="30" customWidth="1"/>
    <col min="112" max="112" width="29.453125" style="30" customWidth="1"/>
    <col min="113" max="113" width="31.453125" style="30" customWidth="1"/>
    <col min="114" max="114" width="29.54296875" style="30" customWidth="1"/>
    <col min="115" max="115" width="31.54296875" style="30" customWidth="1"/>
    <col min="116" max="116" width="29.7265625" style="30" customWidth="1"/>
    <col min="117" max="117" width="31.54296875" style="30" customWidth="1"/>
    <col min="118" max="118" width="29.453125" style="30" customWidth="1"/>
    <col min="119" max="119" width="31.453125" style="30" customWidth="1"/>
    <col min="120" max="120" width="30" style="30" customWidth="1"/>
    <col min="121" max="121" width="31.81640625" style="30" customWidth="1"/>
    <col min="122" max="122" width="29.54296875" style="30" customWidth="1"/>
    <col min="123" max="123" width="31.54296875" style="30" customWidth="1"/>
    <col min="124" max="124" width="12.1796875" style="30" bestFit="1" customWidth="1"/>
    <col min="125" max="125" width="11.1796875" style="30" bestFit="1" customWidth="1"/>
    <col min="126" max="126" width="1.54296875" style="30" bestFit="1" customWidth="1"/>
    <col min="127" max="16384" width="8.7265625" style="30"/>
  </cols>
  <sheetData>
    <row r="1" spans="1:125" s="36" customFormat="1" x14ac:dyDescent="0.25">
      <c r="E1" s="34">
        <f>SUBTOTAL(9,E3:E77)</f>
        <v>44.000000000000007</v>
      </c>
      <c r="G1" s="36">
        <f>SUBTOTAL(9,G3:G77)</f>
        <v>2731168.8912339984</v>
      </c>
      <c r="I1" s="36">
        <f>SUBTOTAL(9,I3:I77)</f>
        <v>3230931.9623529986</v>
      </c>
      <c r="K1" s="36">
        <f>SUBTOTAL(9,K3:K77)</f>
        <v>2656628.533756</v>
      </c>
      <c r="M1" s="36">
        <f>SUBTOTAL(9,M3:M77)</f>
        <v>2471131.9999999995</v>
      </c>
      <c r="O1" s="36">
        <f>SUBTOTAL(9,O3:O77)</f>
        <v>1861369.4999999995</v>
      </c>
      <c r="Q1" s="36">
        <f>SUBTOTAL(9,Q3:Q77)</f>
        <v>2435563.3649999993</v>
      </c>
      <c r="S1" s="36">
        <f>SUBTOTAL(9,S3:S77)</f>
        <v>2387394.7259499989</v>
      </c>
      <c r="U1" s="36">
        <f>SUBTOTAL(9,U3:U77)</f>
        <v>2393580.7177285003</v>
      </c>
      <c r="W1" s="36">
        <f>SUBTOTAL(9,W3:W77)</f>
        <v>2364410.4792603548</v>
      </c>
      <c r="Y1" s="36">
        <f>SUBTOTAL(9,Y3:Y77)</f>
        <v>2362764.1536381654</v>
      </c>
      <c r="AA1" s="36">
        <f>SUBTOTAL(9,AA3:AA77)</f>
        <v>2226399.8882473102</v>
      </c>
      <c r="AC1" s="36">
        <f>SUBTOTAL(9,AC3:AC77)</f>
        <v>2542854.8348947298</v>
      </c>
      <c r="AE1" s="36">
        <f>SUBTOTAL(9,AE3:AE77)</f>
        <v>2613314.4999999995</v>
      </c>
      <c r="AG1" s="36">
        <f>SUBTOTAL(9,AG3:AG77)</f>
        <v>2431477.9999999995</v>
      </c>
      <c r="AI1" s="36">
        <f>SUBTOTAL(9,AI3:AI77)</f>
        <v>2505366</v>
      </c>
      <c r="AK1" s="36">
        <f>SUBTOTAL(9,AK3:AK77)</f>
        <v>2455871.5</v>
      </c>
      <c r="AM1" s="36">
        <f>SUBTOTAL(9,AM3:AM77)</f>
        <v>2707471.3649999998</v>
      </c>
      <c r="AO1" s="36">
        <f>SUBTOTAL(9,AO3:AO77)</f>
        <v>2630514.7259499985</v>
      </c>
      <c r="AQ1" s="36">
        <f>SUBTOTAL(9,AQ3:AQ77)</f>
        <v>2393385.7177284993</v>
      </c>
      <c r="AS1" s="36">
        <f>SUBTOTAL(9,AS3:AS77)</f>
        <v>2480216.4792603548</v>
      </c>
      <c r="AU1" s="36">
        <f>SUBTOTAL(9,AU3:AU77)</f>
        <v>2562350.1536381654</v>
      </c>
      <c r="AW1" s="36">
        <f>SUBTOTAL(9,AW3:AW77)</f>
        <v>2571185.8882473097</v>
      </c>
      <c r="AY1" s="36">
        <f>SUBTOTAL(9,AY3:AY77)</f>
        <v>2303372.8348947293</v>
      </c>
      <c r="BA1" s="36">
        <f>SUBTOTAL(9,BA3:BA77)</f>
        <v>2732965.149941572</v>
      </c>
      <c r="BC1" s="36">
        <f>SUBTOTAL(9,BC3:BC77)</f>
        <v>2814780.6349999998</v>
      </c>
      <c r="BE1" s="36">
        <f>SUBTOTAL(9,BE3:BE77)</f>
        <v>2614920.399999999</v>
      </c>
      <c r="BG1" s="36">
        <f>SUBTOTAL(9,BG3:BG77)</f>
        <v>2683646.41</v>
      </c>
      <c r="BI1" s="36">
        <f>SUBTOTAL(9,BI3:BI77)</f>
        <v>2629877.3649999993</v>
      </c>
      <c r="BK1" s="36">
        <f>SUBTOTAL(9,BK3:BK77)</f>
        <v>2897943.7259499999</v>
      </c>
      <c r="BM1" s="36">
        <f>SUBTOTAL(9,BM3:BM77)</f>
        <v>2818210.7177284993</v>
      </c>
      <c r="BO1" s="36">
        <f>SUBTOTAL(9,BO3:BO77)</f>
        <v>2571422.4792603548</v>
      </c>
      <c r="BQ1" s="36">
        <f>SUBTOTAL(9,BQ3:BQ77)</f>
        <v>2666204.1536381654</v>
      </c>
      <c r="BS1" s="36">
        <f>SUBTOTAL(9,BS3:BS77)</f>
        <v>2759048.8882473106</v>
      </c>
      <c r="BU1" s="36">
        <f>SUBTOTAL(9,BU3:BU77)</f>
        <v>2785540.8348947293</v>
      </c>
      <c r="BW1" s="36">
        <f>SUBTOTAL(9,BW3:BW77)</f>
        <v>2490229.1499415715</v>
      </c>
      <c r="BY1" s="36">
        <f>SUBTOTAL(9,BY3:BY77)</f>
        <v>2951445.9944398184</v>
      </c>
      <c r="CA1" s="36">
        <f>SUBTOTAL(9,CA3:CA77)</f>
        <v>3046042.5440500001</v>
      </c>
      <c r="CC1" s="36">
        <f>SUBTOTAL(9,CC3:CC77)</f>
        <v>2825186.3620000002</v>
      </c>
      <c r="CE1" s="36">
        <f>SUBTOTAL(9,CE3:CE77)</f>
        <v>2886742.3622999997</v>
      </c>
      <c r="CG1" s="36">
        <f>SUBTOTAL(9,CG3:CG77)</f>
        <v>2829659.7259499989</v>
      </c>
      <c r="CI1" s="36">
        <f>SUBTOTAL(9,CI3:CI77)</f>
        <v>3118395.7177284998</v>
      </c>
      <c r="CK1" s="36">
        <f>SUBTOTAL(9,CK3:CK77)</f>
        <v>3037024.9792603538</v>
      </c>
      <c r="CM1" s="36">
        <f>SUBTOTAL(9,CM3:CM77)</f>
        <v>2786782.2036381653</v>
      </c>
      <c r="CO1" s="36">
        <f>SUBTOTAL(9,CO3:CO77)</f>
        <v>2849945.3882473097</v>
      </c>
      <c r="CQ1" s="36">
        <f>SUBTOTAL(9,CQ3:CQ77)</f>
        <v>2941262.3348947302</v>
      </c>
      <c r="CS1" s="36">
        <f>SUBTOTAL(9,CS3:CS77)</f>
        <v>2972515.6499415715</v>
      </c>
      <c r="CU1" s="36">
        <f>SUBTOTAL(9,CU3:CU77)</f>
        <v>2652809.9944398189</v>
      </c>
      <c r="CW1" s="36">
        <f>SUBTOTAL(9,CW3:CW77)</f>
        <v>3142704.0842730133</v>
      </c>
      <c r="CY1" s="36">
        <f>SUBTOTAL(9,CY3:CY77)</f>
        <v>3248730.870371501</v>
      </c>
      <c r="DA1" s="36">
        <f>SUBTOTAL(9,DA3:DA77)</f>
        <v>3015870.0528599992</v>
      </c>
      <c r="DC1" s="36">
        <f>SUBTOTAL(9,DC3:DC77)</f>
        <v>3073794.4931689999</v>
      </c>
      <c r="DE1" s="36">
        <f>SUBTOTAL(9,DE3:DE77)</f>
        <v>3013723.2177284989</v>
      </c>
      <c r="DG1" s="36">
        <f>SUBTOTAL(9,DG3:DG77)</f>
        <v>3324222.029260355</v>
      </c>
      <c r="DI1" s="36">
        <f>SUBTOTAL(9,DI3:DI77)</f>
        <v>3245433.6286381651</v>
      </c>
      <c r="DK1" s="36">
        <f>SUBTOTAL(9,DK3:DK77)</f>
        <v>3019464.2697473108</v>
      </c>
      <c r="DM1" s="36">
        <f>SUBTOTAL(9,DM3:DM77)</f>
        <v>2978887.8498947294</v>
      </c>
      <c r="DO1" s="36">
        <f>SUBTOTAL(9,DO3:DO77)</f>
        <v>3113775.984941571</v>
      </c>
      <c r="DQ1" s="36">
        <f>SUBTOTAL(9,DQ3:DQ77)</f>
        <v>3115473.3644398181</v>
      </c>
      <c r="DS1" s="36">
        <f>SUBTOTAL(9,DS3:DS77)</f>
        <v>3115828.0392730124</v>
      </c>
      <c r="DT1" s="36">
        <f>SUM(F1:DS1)</f>
        <v>162089237.26787063</v>
      </c>
    </row>
    <row r="2" spans="1:125" ht="13" x14ac:dyDescent="0.25">
      <c r="A2" s="29" t="s">
        <v>122</v>
      </c>
      <c r="B2" s="29" t="s">
        <v>123</v>
      </c>
      <c r="C2" s="29" t="s">
        <v>124</v>
      </c>
      <c r="D2" s="29" t="s">
        <v>125</v>
      </c>
      <c r="E2" s="31" t="s">
        <v>126</v>
      </c>
      <c r="F2" s="32" t="s">
        <v>127</v>
      </c>
      <c r="G2" s="32" t="s">
        <v>128</v>
      </c>
      <c r="H2" s="33" t="s">
        <v>129</v>
      </c>
      <c r="I2" s="33" t="s">
        <v>130</v>
      </c>
      <c r="J2" s="33" t="s">
        <v>131</v>
      </c>
      <c r="K2" s="33" t="s">
        <v>132</v>
      </c>
      <c r="L2" s="33" t="s">
        <v>133</v>
      </c>
      <c r="M2" s="33" t="s">
        <v>134</v>
      </c>
      <c r="N2" s="33" t="s">
        <v>135</v>
      </c>
      <c r="O2" s="33" t="s">
        <v>136</v>
      </c>
      <c r="P2" s="33" t="s">
        <v>137</v>
      </c>
      <c r="Q2" s="33" t="s">
        <v>138</v>
      </c>
      <c r="R2" s="33" t="s">
        <v>139</v>
      </c>
      <c r="S2" s="33" t="s">
        <v>140</v>
      </c>
      <c r="T2" s="33" t="s">
        <v>141</v>
      </c>
      <c r="U2" s="33" t="s">
        <v>142</v>
      </c>
      <c r="V2" s="33" t="s">
        <v>143</v>
      </c>
      <c r="W2" s="33" t="s">
        <v>144</v>
      </c>
      <c r="X2" s="33" t="s">
        <v>145</v>
      </c>
      <c r="Y2" s="33" t="s">
        <v>146</v>
      </c>
      <c r="Z2" s="33" t="s">
        <v>147</v>
      </c>
      <c r="AA2" s="33" t="s">
        <v>148</v>
      </c>
      <c r="AB2" s="33" t="s">
        <v>149</v>
      </c>
      <c r="AC2" s="33" t="s">
        <v>150</v>
      </c>
      <c r="AD2" s="33" t="s">
        <v>151</v>
      </c>
      <c r="AE2" s="33" t="s">
        <v>152</v>
      </c>
      <c r="AF2" s="33" t="s">
        <v>153</v>
      </c>
      <c r="AG2" s="33" t="s">
        <v>154</v>
      </c>
      <c r="AH2" s="33" t="s">
        <v>155</v>
      </c>
      <c r="AI2" s="33" t="s">
        <v>156</v>
      </c>
      <c r="AJ2" s="33" t="s">
        <v>157</v>
      </c>
      <c r="AK2" s="33" t="s">
        <v>158</v>
      </c>
      <c r="AL2" s="33" t="s">
        <v>159</v>
      </c>
      <c r="AM2" s="33" t="s">
        <v>160</v>
      </c>
      <c r="AN2" s="33" t="s">
        <v>161</v>
      </c>
      <c r="AO2" s="33" t="s">
        <v>162</v>
      </c>
      <c r="AP2" s="33" t="s">
        <v>163</v>
      </c>
      <c r="AQ2" s="33" t="s">
        <v>164</v>
      </c>
      <c r="AR2" s="33" t="s">
        <v>165</v>
      </c>
      <c r="AS2" s="33" t="s">
        <v>166</v>
      </c>
      <c r="AT2" s="33" t="s">
        <v>167</v>
      </c>
      <c r="AU2" s="33" t="s">
        <v>168</v>
      </c>
      <c r="AV2" s="33" t="s">
        <v>169</v>
      </c>
      <c r="AW2" s="33" t="s">
        <v>170</v>
      </c>
      <c r="AX2" s="33" t="s">
        <v>171</v>
      </c>
      <c r="AY2" s="33" t="s">
        <v>172</v>
      </c>
      <c r="AZ2" s="33" t="s">
        <v>173</v>
      </c>
      <c r="BA2" s="33" t="s">
        <v>174</v>
      </c>
      <c r="BB2" s="33" t="s">
        <v>175</v>
      </c>
      <c r="BC2" s="33" t="s">
        <v>176</v>
      </c>
      <c r="BD2" s="33" t="s">
        <v>177</v>
      </c>
      <c r="BE2" s="33" t="s">
        <v>178</v>
      </c>
      <c r="BF2" s="33" t="s">
        <v>179</v>
      </c>
      <c r="BG2" s="33" t="s">
        <v>180</v>
      </c>
      <c r="BH2" s="33" t="s">
        <v>181</v>
      </c>
      <c r="BI2" s="33" t="s">
        <v>182</v>
      </c>
      <c r="BJ2" s="33" t="s">
        <v>183</v>
      </c>
      <c r="BK2" s="33" t="s">
        <v>184</v>
      </c>
      <c r="BL2" s="33" t="s">
        <v>185</v>
      </c>
      <c r="BM2" s="33" t="s">
        <v>186</v>
      </c>
      <c r="BN2" s="33" t="s">
        <v>187</v>
      </c>
      <c r="BO2" s="33" t="s">
        <v>188</v>
      </c>
      <c r="BP2" s="33" t="s">
        <v>189</v>
      </c>
      <c r="BQ2" s="33" t="s">
        <v>190</v>
      </c>
      <c r="BR2" s="33" t="s">
        <v>191</v>
      </c>
      <c r="BS2" s="33" t="s">
        <v>192</v>
      </c>
      <c r="BT2" s="33" t="s">
        <v>193</v>
      </c>
      <c r="BU2" s="33" t="s">
        <v>194</v>
      </c>
      <c r="BV2" s="33" t="s">
        <v>195</v>
      </c>
      <c r="BW2" s="33" t="s">
        <v>196</v>
      </c>
      <c r="BX2" s="33" t="s">
        <v>197</v>
      </c>
      <c r="BY2" s="33" t="s">
        <v>198</v>
      </c>
      <c r="BZ2" s="33" t="s">
        <v>199</v>
      </c>
      <c r="CA2" s="33" t="s">
        <v>200</v>
      </c>
      <c r="CB2" s="33" t="s">
        <v>201</v>
      </c>
      <c r="CC2" s="33" t="s">
        <v>202</v>
      </c>
      <c r="CD2" s="33" t="s">
        <v>203</v>
      </c>
      <c r="CE2" s="33" t="s">
        <v>204</v>
      </c>
      <c r="CF2" s="33" t="s">
        <v>205</v>
      </c>
      <c r="CG2" s="33" t="s">
        <v>206</v>
      </c>
      <c r="CH2" s="33" t="s">
        <v>207</v>
      </c>
      <c r="CI2" s="33" t="s">
        <v>208</v>
      </c>
      <c r="CJ2" s="33" t="s">
        <v>209</v>
      </c>
      <c r="CK2" s="33" t="s">
        <v>210</v>
      </c>
      <c r="CL2" s="33" t="s">
        <v>211</v>
      </c>
      <c r="CM2" s="33" t="s">
        <v>212</v>
      </c>
      <c r="CN2" s="33" t="s">
        <v>213</v>
      </c>
      <c r="CO2" s="33" t="s">
        <v>214</v>
      </c>
      <c r="CP2" s="33" t="s">
        <v>215</v>
      </c>
      <c r="CQ2" s="33" t="s">
        <v>216</v>
      </c>
      <c r="CR2" s="33" t="s">
        <v>217</v>
      </c>
      <c r="CS2" s="33" t="s">
        <v>218</v>
      </c>
      <c r="CT2" s="33" t="s">
        <v>219</v>
      </c>
      <c r="CU2" s="33" t="s">
        <v>220</v>
      </c>
      <c r="CV2" s="33" t="s">
        <v>221</v>
      </c>
      <c r="CW2" s="33" t="s">
        <v>222</v>
      </c>
      <c r="CX2" s="33" t="s">
        <v>223</v>
      </c>
      <c r="CY2" s="33" t="s">
        <v>224</v>
      </c>
      <c r="CZ2" s="33" t="s">
        <v>225</v>
      </c>
      <c r="DA2" s="33" t="s">
        <v>226</v>
      </c>
      <c r="DB2" s="33" t="s">
        <v>227</v>
      </c>
      <c r="DC2" s="33" t="s">
        <v>228</v>
      </c>
      <c r="DD2" s="33" t="s">
        <v>229</v>
      </c>
      <c r="DE2" s="33" t="s">
        <v>230</v>
      </c>
      <c r="DF2" s="33" t="s">
        <v>231</v>
      </c>
      <c r="DG2" s="33" t="s">
        <v>232</v>
      </c>
      <c r="DH2" s="33" t="s">
        <v>233</v>
      </c>
      <c r="DI2" s="33" t="s">
        <v>234</v>
      </c>
      <c r="DJ2" s="33" t="s">
        <v>235</v>
      </c>
      <c r="DK2" s="33" t="s">
        <v>236</v>
      </c>
      <c r="DL2" s="33" t="s">
        <v>237</v>
      </c>
      <c r="DM2" s="33" t="s">
        <v>238</v>
      </c>
      <c r="DN2" s="33" t="s">
        <v>239</v>
      </c>
      <c r="DO2" s="33" t="s">
        <v>240</v>
      </c>
      <c r="DP2" s="33" t="s">
        <v>241</v>
      </c>
      <c r="DQ2" s="33" t="s">
        <v>242</v>
      </c>
      <c r="DR2" s="33" t="s">
        <v>243</v>
      </c>
      <c r="DS2" s="33" t="s">
        <v>244</v>
      </c>
    </row>
    <row r="3" spans="1:125" x14ac:dyDescent="0.25">
      <c r="A3" s="40" t="s">
        <v>245</v>
      </c>
      <c r="B3" s="40" t="s">
        <v>246</v>
      </c>
      <c r="C3" s="40" t="s">
        <v>70</v>
      </c>
      <c r="D3" s="40" t="str">
        <f>_xlfn.CONCAT(A3,C3)</f>
        <v>A00ABRITE TIP</v>
      </c>
      <c r="E3" s="41">
        <v>0.26277528052352012</v>
      </c>
      <c r="F3" s="35">
        <f>SUMIF('5 Year Supply Plan'!A:A,'JZ_BRAND SPLITS'!C3,'5 Year Supply Plan'!H:H)</f>
        <v>159148</v>
      </c>
      <c r="G3" s="35">
        <f>F3*E3</f>
        <v>41820.160344757176</v>
      </c>
      <c r="H3" s="35">
        <f>SUMIF('5 Year Supply Plan'!A:A,'JZ_BRAND SPLITS'!C3,'5 Year Supply Plan'!I:I)</f>
        <v>155459</v>
      </c>
      <c r="I3" s="35">
        <f>H3*E3</f>
        <v>40850.782334905911</v>
      </c>
      <c r="J3" s="35">
        <f>SUMIF('5 Year Supply Plan'!A:A,'JZ_BRAND SPLITS'!C3,'5 Year Supply Plan'!J:J)</f>
        <v>128367</v>
      </c>
      <c r="K3" s="35">
        <f>J3*E3</f>
        <v>33731.674434962704</v>
      </c>
      <c r="L3" s="35">
        <f>SUMIF('5 Year Supply Plan'!A:A,'JZ_BRAND SPLITS'!C3,'5 Year Supply Plan'!K:K)</f>
        <v>95000</v>
      </c>
      <c r="M3" s="35">
        <f>L3*E3</f>
        <v>24963.651649734413</v>
      </c>
      <c r="N3" s="35">
        <f>SUMIF('5 Year Supply Plan'!A:A,'JZ_BRAND SPLITS'!C3,'5 Year Supply Plan'!L:L)</f>
        <v>60740</v>
      </c>
      <c r="O3" s="35">
        <f>N3*E3</f>
        <v>15960.970538998612</v>
      </c>
      <c r="P3" s="35">
        <f>SUMIF('5 Year Supply Plan'!A:A,'JZ_BRAND SPLITS'!C3,'5 Year Supply Plan'!M:M)</f>
        <v>80000</v>
      </c>
      <c r="Q3" s="35">
        <f>P3*E3</f>
        <v>21022.022441881611</v>
      </c>
      <c r="R3" s="35">
        <f>SUMIF('5 Year Supply Plan'!A:A,'JZ_BRAND SPLITS'!C3,'5 Year Supply Plan'!N:N)</f>
        <v>95000</v>
      </c>
      <c r="S3" s="35">
        <f>R3*E3</f>
        <v>24963.651649734413</v>
      </c>
      <c r="T3" s="35">
        <f>SUMIF('5 Year Supply Plan'!A:A,'JZ_BRAND SPLITS'!C3,'5 Year Supply Plan'!O:O)</f>
        <v>95000</v>
      </c>
      <c r="U3" s="35">
        <f>T3*E3</f>
        <v>24963.651649734413</v>
      </c>
      <c r="V3" s="35">
        <f>SUMIF('5 Year Supply Plan'!A:A,'JZ_BRAND SPLITS'!C3,'5 Year Supply Plan'!P:P)</f>
        <v>95000</v>
      </c>
      <c r="W3" s="35">
        <f>V3*E3</f>
        <v>24963.651649734413</v>
      </c>
      <c r="X3" s="35">
        <f>SUMIF('5 Year Supply Plan'!A:A,'JZ_BRAND SPLITS'!C3,'5 Year Supply Plan'!Q:Q)</f>
        <v>95000</v>
      </c>
      <c r="Y3" s="35">
        <f>X3*E3</f>
        <v>24963.651649734413</v>
      </c>
      <c r="Z3" s="35">
        <f>SUMIF('5 Year Supply Plan'!A:A,'JZ_BRAND SPLITS'!C3,'5 Year Supply Plan'!R:R)</f>
        <v>100000</v>
      </c>
      <c r="AA3" s="35">
        <f>Z3*E3</f>
        <v>26277.528052352012</v>
      </c>
      <c r="AB3" s="35">
        <f>SUMIF('5 Year Supply Plan'!A:A,'JZ_BRAND SPLITS'!C3,'5 Year Supply Plan'!S:S)</f>
        <v>108680</v>
      </c>
      <c r="AC3" s="35">
        <f>AB3*E3</f>
        <v>28558.417487296167</v>
      </c>
      <c r="AD3" s="35">
        <f>SUMIF('5 Year Supply Plan'!A:A,'JZ_BRAND SPLITS'!C3,'5 Year Supply Plan'!T:T)</f>
        <v>108509</v>
      </c>
      <c r="AE3" s="35">
        <f>AD3*E3</f>
        <v>28513.482914326643</v>
      </c>
      <c r="AF3" s="35">
        <f>SUMIF('5 Year Supply Plan'!A:A,'JZ_BRAND SPLITS'!C3,'5 Year Supply Plan'!U:U)</f>
        <v>105148</v>
      </c>
      <c r="AG3" s="35">
        <f>AF3*E3</f>
        <v>27630.295196487092</v>
      </c>
      <c r="AH3" s="35">
        <f>SUMIF('5 Year Supply Plan'!A:A,'JZ_BRAND SPLITS'!C3,'5 Year Supply Plan'!V:V)</f>
        <v>108298</v>
      </c>
      <c r="AI3" s="35">
        <f>AH3*E3</f>
        <v>28458.037330136183</v>
      </c>
      <c r="AJ3" s="35">
        <f>SUMIF('5 Year Supply Plan'!A:A,'JZ_BRAND SPLITS'!C3,'5 Year Supply Plan'!W:W)</f>
        <v>101096</v>
      </c>
      <c r="AK3" s="35">
        <f>E3*AJ3</f>
        <v>26565.529759805791</v>
      </c>
      <c r="AL3" s="35">
        <f>SUMIF('5 Year Supply Plan'!A:A,'JZ_BRAND SPLITS'!C3,'5 Year Supply Plan'!X:X)</f>
        <v>106931</v>
      </c>
      <c r="AM3" s="35">
        <f>AL3*E3</f>
        <v>28098.823521660528</v>
      </c>
      <c r="AN3" s="35">
        <f>SUMIF('5 Year Supply Plan'!A:A,'JZ_BRAND SPLITS'!C3,'5 Year Supply Plan'!Y:Y)</f>
        <v>102807</v>
      </c>
      <c r="AO3" s="35">
        <f>AN3*E3</f>
        <v>27015.138264781534</v>
      </c>
      <c r="AP3" s="35">
        <f>SUMIF('5 Year Supply Plan'!A:A,'JZ_BRAND SPLITS'!C3,'5 Year Supply Plan'!Z:Z)</f>
        <v>89522</v>
      </c>
      <c r="AQ3" s="35">
        <f>AP3*E3</f>
        <v>23524.168663026569</v>
      </c>
      <c r="AR3" s="35">
        <f>SUMIF('5 Year Supply Plan'!A:A,'JZ_BRAND SPLITS'!C3,'5 Year Supply Plan'!AA:AA)</f>
        <v>102972</v>
      </c>
      <c r="AS3" s="35">
        <f>AR3*E3</f>
        <v>27058.496186067914</v>
      </c>
      <c r="AT3" s="35">
        <f>SUMIF('5 Year Supply Plan'!A:A,'JZ_BRAND SPLITS'!C3,'5 Year Supply Plan'!AB:AB)</f>
        <v>116923</v>
      </c>
      <c r="AU3" s="35">
        <f>AT3*E3</f>
        <v>30724.474124651544</v>
      </c>
      <c r="AV3" s="35">
        <f>SUMIF('5 Year Supply Plan'!A:A,'JZ_BRAND SPLITS'!C3,'5 Year Supply Plan'!AC:AC)</f>
        <v>105515</v>
      </c>
      <c r="AW3" s="35">
        <f>AV3*E3</f>
        <v>27726.733724439226</v>
      </c>
      <c r="AX3" s="35">
        <f>SUMIF('5 Year Supply Plan'!A:A,'JZ_BRAND SPLITS'!C3,'5 Year Supply Plan'!AD:AD)</f>
        <v>91383</v>
      </c>
      <c r="AY3" s="35">
        <f>AX3*E3</f>
        <v>24013.193460080838</v>
      </c>
      <c r="AZ3" s="35">
        <f>SUMIF('5 Year Supply Plan'!A:A,'JZ_BRAND SPLITS'!C3,'5 Year Supply Plan'!AE:AE)</f>
        <v>111801</v>
      </c>
      <c r="BA3" s="35">
        <f>AZ3*E3</f>
        <v>29378.539137810072</v>
      </c>
      <c r="BB3" s="35">
        <f>SUMIF('5 Year Supply Plan'!A:A,'JZ_BRAND SPLITS'!C3,'5 Year Supply Plan'!AF:AF)</f>
        <v>111595</v>
      </c>
      <c r="BC3" s="35">
        <f>BB3*E3</f>
        <v>29324.407430022227</v>
      </c>
      <c r="BD3" s="35">
        <f>SUMIF('5 Year Supply Plan'!A:A,'JZ_BRAND SPLITS'!C3,'5 Year Supply Plan'!AG:AG)</f>
        <v>108097</v>
      </c>
      <c r="BE3" s="35">
        <f>BD3*E3</f>
        <v>28405.219498750954</v>
      </c>
      <c r="BF3" s="35">
        <f>SUMIF('5 Year Supply Plan'!A:A,'JZ_BRAND SPLITS'!C3,'5 Year Supply Plan'!AH:AH)</f>
        <v>111224</v>
      </c>
      <c r="BG3" s="35">
        <f>BF3*E3</f>
        <v>29226.917800948002</v>
      </c>
      <c r="BH3" s="35">
        <f>SUMIF('5 Year Supply Plan'!A:A,'JZ_BRAND SPLITS'!C3,'5 Year Supply Plan'!AI:AI)</f>
        <v>103927</v>
      </c>
      <c r="BI3" s="35">
        <f>BH3*E3</f>
        <v>27309.446578967876</v>
      </c>
      <c r="BJ3" s="35">
        <f>SUMIF('5 Year Supply Plan'!A:A,'JZ_BRAND SPLITS'!C3,'5 Year Supply Plan'!AJ:AJ)</f>
        <v>110058</v>
      </c>
      <c r="BK3" s="35">
        <f>BJ3*E3</f>
        <v>28920.521823857576</v>
      </c>
      <c r="BL3" s="35">
        <f>SUMIF('5 Year Supply Plan'!A:A,'JZ_BRAND SPLITS'!C3,'5 Year Supply Plan'!AK:AK)</f>
        <v>105845</v>
      </c>
      <c r="BM3" s="35">
        <f>BL3*E3</f>
        <v>27813.449567011987</v>
      </c>
      <c r="BN3" s="35">
        <f>SUMIF('5 Year Supply Plan'!A:A,'JZ_BRAND SPLITS'!C3,'5 Year Supply Plan'!AL:AL)</f>
        <v>92075</v>
      </c>
      <c r="BO3" s="35">
        <f>BN3*E3</f>
        <v>24195.033954203114</v>
      </c>
      <c r="BP3" s="35">
        <f>SUMIF('5 Year Supply Plan'!A:A,'JZ_BRAND SPLITS'!C3,'5 Year Supply Plan'!AM:AM)</f>
        <v>106215</v>
      </c>
      <c r="BQ3" s="35">
        <f>BP3*E3</f>
        <v>27910.676420805688</v>
      </c>
      <c r="BR3" s="35">
        <f>SUMIF('5 Year Supply Plan'!A:A,'JZ_BRAND SPLITS'!C3,'5 Year Supply Plan'!AN:AN)</f>
        <v>121018</v>
      </c>
      <c r="BS3" s="35">
        <f>BR3*E3</f>
        <v>31800.538898395356</v>
      </c>
      <c r="BT3" s="35">
        <f>SUMIF('5 Year Supply Plan'!A:A,'JZ_BRAND SPLITS'!C3,'5 Year Supply Plan'!AO:AO)</f>
        <v>109939</v>
      </c>
      <c r="BU3" s="35">
        <f>BT3*E3</f>
        <v>28889.251565475279</v>
      </c>
      <c r="BV3" s="35">
        <f>SUMIF('5 Year Supply Plan'!A:A,'JZ_BRAND SPLITS'!C3,'5 Year Supply Plan'!AP:AP)</f>
        <v>95222</v>
      </c>
      <c r="BW3" s="35">
        <f>BV3*E3</f>
        <v>25021.987762010631</v>
      </c>
      <c r="BX3" s="35">
        <f>SUMIF('5 Year Supply Plan'!A:A,'JZ_BRAND SPLITS'!C3,'5 Year Supply Plan'!AQ:AQ)</f>
        <v>116566</v>
      </c>
      <c r="BY3" s="35">
        <f>BX3*E3</f>
        <v>30630.663349504644</v>
      </c>
      <c r="BZ3" s="35">
        <f>SUMIF('5 Year Supply Plan'!A:A,'JZ_BRAND SPLITS'!C3,'5 Year Supply Plan'!AR:AR)</f>
        <v>116333</v>
      </c>
      <c r="CA3" s="35">
        <f>BZ3*E3</f>
        <v>30569.436709142665</v>
      </c>
      <c r="CB3" s="35">
        <f>SUMIF('5 Year Supply Plan'!A:A,'JZ_BRAND SPLITS'!C3,'5 Year Supply Plan'!AS:AS)</f>
        <v>112657</v>
      </c>
      <c r="CC3" s="35">
        <f>CB3*E3</f>
        <v>29603.474777938205</v>
      </c>
      <c r="CD3" s="35">
        <f>SUMIF('5 Year Supply Plan'!A:A,'JZ_BRAND SPLITS'!C3,'5 Year Supply Plan'!AT:AT)</f>
        <v>115835</v>
      </c>
      <c r="CE3" s="35">
        <f>CD3*E3</f>
        <v>30438.574619441952</v>
      </c>
      <c r="CF3" s="35">
        <f>SUMIF('5 Year Supply Plan'!A:A,'JZ_BRAND SPLITS'!C3,'5 Year Supply Plan'!AU:AU)</f>
        <v>108309</v>
      </c>
      <c r="CG3" s="35">
        <f>CF3*E3</f>
        <v>28460.927858221941</v>
      </c>
      <c r="CH3" s="35">
        <f>SUMIF('5 Year Supply Plan'!A:A,'JZ_BRAND SPLITS'!C3,'5 Year Supply Plan'!AV:AV)</f>
        <v>114793</v>
      </c>
      <c r="CI3" s="35">
        <f>CH3*E3</f>
        <v>30164.762777136446</v>
      </c>
      <c r="CJ3" s="35">
        <f>SUMIF('5 Year Supply Plan'!A:A,'JZ_BRAND SPLITS'!C3,'5 Year Supply Plan'!AW:AW)</f>
        <v>110416</v>
      </c>
      <c r="CK3" s="35">
        <f>CJ3*E3</f>
        <v>29014.595374284996</v>
      </c>
      <c r="CL3" s="35">
        <f>SUMIF('5 Year Supply Plan'!A:A,'JZ_BRAND SPLITS'!C3,'5 Year Supply Plan'!AX:AX)</f>
        <v>96042</v>
      </c>
      <c r="CM3" s="35">
        <f>CL3*E3</f>
        <v>25237.463492039918</v>
      </c>
      <c r="CN3" s="35">
        <f>SUMIF('5 Year Supply Plan'!A:A,'JZ_BRAND SPLITS'!C3,'5 Year Supply Plan'!AY:AY)</f>
        <v>110495</v>
      </c>
      <c r="CO3" s="35">
        <f>CN3*E3</f>
        <v>29035.354621446357</v>
      </c>
      <c r="CP3" s="35">
        <f>SUMIF('5 Year Supply Plan'!A:A,'JZ_BRAND SPLITS'!C3,'5 Year Supply Plan'!AZ:AZ)</f>
        <v>125741</v>
      </c>
      <c r="CQ3" s="35">
        <f>CP3*E3</f>
        <v>33041.626548307941</v>
      </c>
      <c r="CR3" s="35">
        <f>SUMIF('5 Year Supply Plan'!A:A,'JZ_BRAND SPLITS'!C3,'5 Year Supply Plan'!BA:BA)</f>
        <v>114320</v>
      </c>
      <c r="CS3" s="35">
        <f>CR3*E3</f>
        <v>30040.47006944882</v>
      </c>
      <c r="CT3" s="35">
        <f>SUMIF('5 Year Supply Plan'!A:A,'JZ_BRAND SPLITS'!C3,'5 Year Supply Plan'!BB:BB)</f>
        <v>98918</v>
      </c>
      <c r="CU3" s="35">
        <f>CT3*E3</f>
        <v>25993.205198825563</v>
      </c>
      <c r="CV3" s="35">
        <f>SUMIF('5 Year Supply Plan'!A:A,'JZ_BRAND SPLITS'!C3,'5 Year Supply Plan'!BC:BC)</f>
        <v>121156</v>
      </c>
      <c r="CW3" s="35">
        <f>CV3*E3</f>
        <v>31836.801887107602</v>
      </c>
      <c r="CX3" s="35">
        <f>SUMIF('5 Year Supply Plan'!A:A,'JZ_BRAND SPLITS'!C3,'5 Year Supply Plan'!BD:BD)</f>
        <v>120888</v>
      </c>
      <c r="CY3" s="35">
        <f>CX3*E3</f>
        <v>31766.378111927301</v>
      </c>
      <c r="CZ3" s="35">
        <f>SUMIF('5 Year Supply Plan'!A:A,'JZ_BRAND SPLITS'!C3,'5 Year Supply Plan'!BE:BE)</f>
        <v>117018</v>
      </c>
      <c r="DA3" s="35">
        <f>CZ3*E3</f>
        <v>30749.437776301278</v>
      </c>
      <c r="DB3" s="35">
        <f>SUMIF('5 Year Supply Plan'!A:A,'JZ_BRAND SPLITS'!C3,'5 Year Supply Plan'!BF:BF)</f>
        <v>120215</v>
      </c>
      <c r="DC3" s="35">
        <f>DB3*E3</f>
        <v>31589.530348134969</v>
      </c>
      <c r="DD3" s="35">
        <f>SUMIF('5 Year Supply Plan'!A:A,'JZ_BRAND SPLITS'!C3,'5 Year Supply Plan'!BG:BG)</f>
        <v>112512</v>
      </c>
      <c r="DE3" s="35">
        <f>DD3*E3</f>
        <v>29565.372362262297</v>
      </c>
      <c r="DF3" s="35">
        <f>SUMIF('5 Year Supply Plan'!A:A,'JZ_BRAND SPLITS'!C3,'5 Year Supply Plan'!BH:BH)</f>
        <v>119373</v>
      </c>
      <c r="DG3" s="35">
        <f>DF3*E3</f>
        <v>31368.273561934166</v>
      </c>
      <c r="DH3" s="35">
        <f>SUMIF('5 Year Supply Plan'!A:A,'JZ_BRAND SPLITS'!C3,'5 Year Supply Plan'!BI:BI)</f>
        <v>114863</v>
      </c>
      <c r="DI3" s="35">
        <f>DH3*E3</f>
        <v>30183.157046773093</v>
      </c>
      <c r="DJ3" s="35">
        <f>SUMIF('5 Year Supply Plan'!A:A,'JZ_BRAND SPLITS'!C3,'5 Year Supply Plan'!BJ:BJ)</f>
        <v>99895</v>
      </c>
      <c r="DK3" s="35">
        <f>DJ3*E3</f>
        <v>26249.936647897041</v>
      </c>
      <c r="DL3" s="35">
        <f>SUMIF('5 Year Supply Plan'!A:A,'JZ_BRAND SPLITS'!C3,'5 Year Supply Plan'!BK:BK)</f>
        <v>103796</v>
      </c>
      <c r="DM3" s="35">
        <f>DL3*E3</f>
        <v>27275.023017219293</v>
      </c>
      <c r="DN3" s="42">
        <f>SUMIF('5 Year Supply Plan'!A:A,'JZ_BRAND SPLITS'!C3,'5 Year Supply Plan'!BL:BL)</f>
        <v>115239</v>
      </c>
      <c r="DO3" s="35">
        <f>DN3*E3</f>
        <v>30281.960552249933</v>
      </c>
      <c r="DP3" s="35">
        <f>SUMIF('5 Year Supply Plan'!A:A,'JZ_BRAND SPLITS'!C3,'5 Year Supply Plan'!BM:BM)</f>
        <v>113570</v>
      </c>
      <c r="DQ3" s="35">
        <f>DP3*E3</f>
        <v>29843.388609056179</v>
      </c>
      <c r="DR3" s="35">
        <f>SUMIF('5 Year Supply Plan'!A:A,'JZ_BRAND SPLITS'!C3,'5 Year Supply Plan'!BN:BN)</f>
        <v>113570</v>
      </c>
      <c r="DS3" s="35">
        <f>DR3*E3</f>
        <v>29843.388609056179</v>
      </c>
      <c r="DT3" s="39">
        <f>DS3+DQ3+DO3+DM3+DK3+DI3+DG3+DE3+DC3+DA3+CY3+CW3+CU3+CS3+CQ3+CO3+CM3+CK3+CI3+CG3+CE3+CC3+CA3+BY3+BW3+BU3+BS3+BQ3+BO3+BM3+BK3+BI3+BG3+BE3+BC3+BA3+AY3+AW3+AU3+AS3+AQ3+AO3+AM3+AK3+AI3+AG3+AE3+AC3+AA3+Y3+W3+U3+S3+Q3+O3+M3+K3+I3+G3</f>
        <v>1683347.3813932084</v>
      </c>
      <c r="DU3" s="36">
        <f>SUMIF('5 Year Supply Plan'!A:A,'JZ_BRAND SPLITS'!C3,'5 Year Supply Plan'!BO:BO)</f>
        <v>6406034</v>
      </c>
    </row>
    <row r="4" spans="1:125" x14ac:dyDescent="0.25">
      <c r="A4" s="40" t="s">
        <v>245</v>
      </c>
      <c r="B4" s="40" t="s">
        <v>246</v>
      </c>
      <c r="C4" s="40" t="s">
        <v>247</v>
      </c>
      <c r="D4" s="40" t="str">
        <f t="shared" ref="D4:D67" si="0">_xlfn.CONCAT(A4,C4)</f>
        <v>A00ALONG SHEATH</v>
      </c>
      <c r="E4" s="41">
        <v>1</v>
      </c>
      <c r="F4" s="35">
        <f>SUMIF('5 Year Supply Plan'!A:A,'JZ_BRAND SPLITS'!C4,'5 Year Supply Plan'!H:H)</f>
        <v>3774.733154</v>
      </c>
      <c r="G4" s="35">
        <f t="shared" ref="G4:G67" si="1">F4*E4</f>
        <v>3774.733154</v>
      </c>
      <c r="H4" s="35">
        <f>SUMIF('5 Year Supply Plan'!A:A,'JZ_BRAND SPLITS'!C4,'5 Year Supply Plan'!I:I)</f>
        <v>1296.957275</v>
      </c>
      <c r="I4" s="35">
        <f t="shared" ref="I4:I67" si="2">H4*E4</f>
        <v>1296.957275</v>
      </c>
      <c r="J4" s="35">
        <f>SUMIF('5 Year Supply Plan'!A:A,'JZ_BRAND SPLITS'!C4,'5 Year Supply Plan'!J:J)</f>
        <v>1045.372803</v>
      </c>
      <c r="K4" s="35">
        <f t="shared" ref="K4:K67" si="3">J4*E4</f>
        <v>1045.372803</v>
      </c>
      <c r="L4" s="35">
        <f>SUMIF('5 Year Supply Plan'!A:A,'JZ_BRAND SPLITS'!C4,'5 Year Supply Plan'!K:K)</f>
        <v>946</v>
      </c>
      <c r="M4" s="35">
        <f t="shared" ref="M4:M67" si="4">L4*E4</f>
        <v>946</v>
      </c>
      <c r="N4" s="35">
        <f>SUMIF('5 Year Supply Plan'!A:A,'JZ_BRAND SPLITS'!C4,'5 Year Supply Plan'!L:L)</f>
        <v>905</v>
      </c>
      <c r="O4" s="35">
        <f t="shared" ref="O4:O67" si="5">N4*E4</f>
        <v>905</v>
      </c>
      <c r="P4" s="35">
        <f>SUMIF('5 Year Supply Plan'!A:A,'JZ_BRAND SPLITS'!C4,'5 Year Supply Plan'!M:M)</f>
        <v>1062</v>
      </c>
      <c r="Q4" s="35">
        <f t="shared" ref="Q4:Q67" si="6">P4*E4</f>
        <v>1062</v>
      </c>
      <c r="R4" s="35">
        <f>SUMIF('5 Year Supply Plan'!A:A,'JZ_BRAND SPLITS'!C4,'5 Year Supply Plan'!N:N)</f>
        <v>1039</v>
      </c>
      <c r="S4" s="35">
        <f t="shared" ref="S4:S67" si="7">R4*E4</f>
        <v>1039</v>
      </c>
      <c r="T4" s="35">
        <f>SUMIF('5 Year Supply Plan'!A:A,'JZ_BRAND SPLITS'!C4,'5 Year Supply Plan'!O:O)</f>
        <v>987</v>
      </c>
      <c r="U4" s="35">
        <f t="shared" ref="U4:U67" si="8">T4*E4</f>
        <v>987</v>
      </c>
      <c r="V4" s="35">
        <f>SUMIF('5 Year Supply Plan'!A:A,'JZ_BRAND SPLITS'!C4,'5 Year Supply Plan'!P:P)</f>
        <v>928</v>
      </c>
      <c r="W4" s="35">
        <f t="shared" ref="W4:W67" si="9">V4*E4</f>
        <v>928</v>
      </c>
      <c r="X4" s="35">
        <f>SUMIF('5 Year Supply Plan'!A:A,'JZ_BRAND SPLITS'!C4,'5 Year Supply Plan'!Q:Q)</f>
        <v>1008</v>
      </c>
      <c r="Y4" s="35">
        <f t="shared" ref="Y4:Y67" si="10">X4*E4</f>
        <v>1008</v>
      </c>
      <c r="Z4" s="35">
        <f>SUMIF('5 Year Supply Plan'!A:A,'JZ_BRAND SPLITS'!C4,'5 Year Supply Plan'!R:R)</f>
        <v>1053</v>
      </c>
      <c r="AA4" s="35">
        <f t="shared" ref="AA4:AA67" si="11">Z4*E4</f>
        <v>1053</v>
      </c>
      <c r="AB4" s="35">
        <f>SUMIF('5 Year Supply Plan'!A:A,'JZ_BRAND SPLITS'!C4,'5 Year Supply Plan'!S:S)</f>
        <v>1226</v>
      </c>
      <c r="AC4" s="35">
        <f t="shared" ref="AC4:AC67" si="12">AB4*E4</f>
        <v>1226</v>
      </c>
      <c r="AD4" s="35">
        <f>SUMIF('5 Year Supply Plan'!A:A,'JZ_BRAND SPLITS'!C4,'5 Year Supply Plan'!T:T)</f>
        <v>1229</v>
      </c>
      <c r="AE4" s="35">
        <f t="shared" ref="AE4:AE67" si="13">AD4*E4</f>
        <v>1229</v>
      </c>
      <c r="AF4" s="35">
        <f>SUMIF('5 Year Supply Plan'!A:A,'JZ_BRAND SPLITS'!C4,'5 Year Supply Plan'!U:U)</f>
        <v>1120</v>
      </c>
      <c r="AG4" s="35">
        <f t="shared" ref="AG4:AG67" si="14">AF4*E4</f>
        <v>1120</v>
      </c>
      <c r="AH4" s="35">
        <f>SUMIF('5 Year Supply Plan'!A:A,'JZ_BRAND SPLITS'!C4,'5 Year Supply Plan'!V:V)</f>
        <v>1193</v>
      </c>
      <c r="AI4" s="35">
        <f t="shared" ref="AI4:AI67" si="15">AH4*E4</f>
        <v>1193</v>
      </c>
      <c r="AJ4" s="35">
        <f>SUMIF('5 Year Supply Plan'!A:A,'JZ_BRAND SPLITS'!C4,'5 Year Supply Plan'!W:W)</f>
        <v>1141</v>
      </c>
      <c r="AK4" s="35">
        <f t="shared" ref="AK4:AK67" si="16">E4*AJ4</f>
        <v>1141</v>
      </c>
      <c r="AL4" s="35">
        <f>SUMIF('5 Year Supply Plan'!A:A,'JZ_BRAND SPLITS'!C4,'5 Year Supply Plan'!X:X)</f>
        <v>1263</v>
      </c>
      <c r="AM4" s="35">
        <f t="shared" ref="AM4:AM67" si="17">AL4*E4</f>
        <v>1263</v>
      </c>
      <c r="AN4" s="35">
        <f>SUMIF('5 Year Supply Plan'!A:A,'JZ_BRAND SPLITS'!C4,'5 Year Supply Plan'!Y:Y)</f>
        <v>1255</v>
      </c>
      <c r="AO4" s="35">
        <f t="shared" ref="AO4:AO67" si="18">AN4*E4</f>
        <v>1255</v>
      </c>
      <c r="AP4" s="35">
        <f>SUMIF('5 Year Supply Plan'!A:A,'JZ_BRAND SPLITS'!C4,'5 Year Supply Plan'!Z:Z)</f>
        <v>1154</v>
      </c>
      <c r="AQ4" s="35">
        <f t="shared" ref="AQ4:AQ67" si="19">AP4*E4</f>
        <v>1154</v>
      </c>
      <c r="AR4" s="35">
        <f>SUMIF('5 Year Supply Plan'!A:A,'JZ_BRAND SPLITS'!C4,'5 Year Supply Plan'!AA:AA)</f>
        <v>1140</v>
      </c>
      <c r="AS4" s="35">
        <f t="shared" ref="AS4:AS67" si="20">AR4*E4</f>
        <v>1140</v>
      </c>
      <c r="AT4" s="35">
        <f>SUMIF('5 Year Supply Plan'!A:A,'JZ_BRAND SPLITS'!C4,'5 Year Supply Plan'!AB:AB)</f>
        <v>1150</v>
      </c>
      <c r="AU4" s="35">
        <f t="shared" ref="AU4:AU67" si="21">AT4*E4</f>
        <v>1150</v>
      </c>
      <c r="AV4" s="35">
        <f>SUMIF('5 Year Supply Plan'!A:A,'JZ_BRAND SPLITS'!C4,'5 Year Supply Plan'!AC:AC)</f>
        <v>1182</v>
      </c>
      <c r="AW4" s="35">
        <f t="shared" ref="AW4:AW67" si="22">AV4*E4</f>
        <v>1182</v>
      </c>
      <c r="AX4" s="35">
        <f>SUMIF('5 Year Supply Plan'!A:A,'JZ_BRAND SPLITS'!C4,'5 Year Supply Plan'!AD:AD)</f>
        <v>1053</v>
      </c>
      <c r="AY4" s="35">
        <f t="shared" ref="AY4:AY67" si="23">AX4*E4</f>
        <v>1053</v>
      </c>
      <c r="AZ4" s="35">
        <f>SUMIF('5 Year Supply Plan'!A:A,'JZ_BRAND SPLITS'!C4,'5 Year Supply Plan'!AE:AE)</f>
        <v>1229</v>
      </c>
      <c r="BA4" s="35">
        <f t="shared" ref="BA4:BA67" si="24">AZ4*E4</f>
        <v>1229</v>
      </c>
      <c r="BB4" s="35">
        <f>SUMIF('5 Year Supply Plan'!A:A,'JZ_BRAND SPLITS'!C4,'5 Year Supply Plan'!AF:AF)</f>
        <v>1229</v>
      </c>
      <c r="BC4" s="35">
        <f t="shared" ref="BC4:BC67" si="25">BB4*E4</f>
        <v>1229</v>
      </c>
      <c r="BD4" s="35">
        <f>SUMIF('5 Year Supply Plan'!A:A,'JZ_BRAND SPLITS'!C4,'5 Year Supply Plan'!AG:AG)</f>
        <v>1123</v>
      </c>
      <c r="BE4" s="35">
        <f t="shared" ref="BE4:BE67" si="26">BD4*E4</f>
        <v>1123</v>
      </c>
      <c r="BF4" s="35">
        <f>SUMIF('5 Year Supply Plan'!A:A,'JZ_BRAND SPLITS'!C4,'5 Year Supply Plan'!AH:AH)</f>
        <v>1194</v>
      </c>
      <c r="BG4" s="35">
        <f t="shared" ref="BG4:BG67" si="27">BF4*E4</f>
        <v>1194</v>
      </c>
      <c r="BH4" s="35">
        <f>SUMIF('5 Year Supply Plan'!A:A,'JZ_BRAND SPLITS'!C4,'5 Year Supply Plan'!AI:AI)</f>
        <v>1141</v>
      </c>
      <c r="BI4" s="35">
        <f t="shared" ref="BI4:BI67" si="28">BH4*E4</f>
        <v>1141</v>
      </c>
      <c r="BJ4" s="35">
        <f>SUMIF('5 Year Supply Plan'!A:A,'JZ_BRAND SPLITS'!C4,'5 Year Supply Plan'!AJ:AJ)</f>
        <v>1265</v>
      </c>
      <c r="BK4" s="35">
        <f t="shared" ref="BK4:BK67" si="29">BJ4*E4</f>
        <v>1265</v>
      </c>
      <c r="BL4" s="35">
        <f>SUMIF('5 Year Supply Plan'!A:A,'JZ_BRAND SPLITS'!C4,'5 Year Supply Plan'!AK:AK)</f>
        <v>1255</v>
      </c>
      <c r="BM4" s="35">
        <f t="shared" ref="BM4:BM67" si="30">BL4*E4</f>
        <v>1255</v>
      </c>
      <c r="BN4" s="35">
        <f>SUMIF('5 Year Supply Plan'!A:A,'JZ_BRAND SPLITS'!C4,'5 Year Supply Plan'!AL:AL)</f>
        <v>1152</v>
      </c>
      <c r="BO4" s="35">
        <f t="shared" ref="BO4:BO67" si="31">BN4*E4</f>
        <v>1152</v>
      </c>
      <c r="BP4" s="35">
        <f>SUMIF('5 Year Supply Plan'!A:A,'JZ_BRAND SPLITS'!C4,'5 Year Supply Plan'!AM:AM)</f>
        <v>1149</v>
      </c>
      <c r="BQ4" s="35">
        <f t="shared" ref="BQ4:BQ67" si="32">BP4*E4</f>
        <v>1149</v>
      </c>
      <c r="BR4" s="35">
        <f>SUMIF('5 Year Supply Plan'!A:A,'JZ_BRAND SPLITS'!C4,'5 Year Supply Plan'!AN:AN)</f>
        <v>1173</v>
      </c>
      <c r="BS4" s="35">
        <f t="shared" ref="BS4:BS67" si="33">BR4*E4</f>
        <v>1173</v>
      </c>
      <c r="BT4" s="35">
        <f>SUMIF('5 Year Supply Plan'!A:A,'JZ_BRAND SPLITS'!C4,'5 Year Supply Plan'!AO:AO)</f>
        <v>1204</v>
      </c>
      <c r="BU4" s="35">
        <f t="shared" ref="BU4:BU67" si="34">BT4*E4</f>
        <v>1204</v>
      </c>
      <c r="BV4" s="35">
        <f>SUMIF('5 Year Supply Plan'!A:A,'JZ_BRAND SPLITS'!C4,'5 Year Supply Plan'!AP:AP)</f>
        <v>1071</v>
      </c>
      <c r="BW4" s="35">
        <f t="shared" ref="BW4:BW67" si="35">BV4*E4</f>
        <v>1071</v>
      </c>
      <c r="BX4" s="35">
        <f>SUMIF('5 Year Supply Plan'!A:A,'JZ_BRAND SPLITS'!C4,'5 Year Supply Plan'!AQ:AQ)</f>
        <v>1256</v>
      </c>
      <c r="BY4" s="35">
        <f t="shared" ref="BY4:BY67" si="36">BX4*E4</f>
        <v>1256</v>
      </c>
      <c r="BZ4" s="35">
        <f>SUMIF('5 Year Supply Plan'!A:A,'JZ_BRAND SPLITS'!C4,'5 Year Supply Plan'!AR:AR)</f>
        <v>1251</v>
      </c>
      <c r="CA4" s="35">
        <f t="shared" ref="CA4:CA67" si="37">BZ4*E4</f>
        <v>1251</v>
      </c>
      <c r="CB4" s="35">
        <f>SUMIF('5 Year Supply Plan'!A:A,'JZ_BRAND SPLITS'!C4,'5 Year Supply Plan'!AS:AS)</f>
        <v>1144</v>
      </c>
      <c r="CC4" s="35">
        <f t="shared" ref="CC4:CC67" si="38">CB4*E4</f>
        <v>1144</v>
      </c>
      <c r="CD4" s="35">
        <f>SUMIF('5 Year Supply Plan'!A:A,'JZ_BRAND SPLITS'!C4,'5 Year Supply Plan'!AT:AT)</f>
        <v>1215</v>
      </c>
      <c r="CE4" s="35">
        <f t="shared" ref="CE4:CE67" si="39">CD4*E4</f>
        <v>1215</v>
      </c>
      <c r="CF4" s="35">
        <f>SUMIF('5 Year Supply Plan'!A:A,'JZ_BRAND SPLITS'!C4,'5 Year Supply Plan'!AU:AU)</f>
        <v>1162</v>
      </c>
      <c r="CG4" s="35">
        <f t="shared" ref="CG4:CG67" si="40">CF4*E4</f>
        <v>1162</v>
      </c>
      <c r="CH4" s="35">
        <f>SUMIF('5 Year Supply Plan'!A:A,'JZ_BRAND SPLITS'!C4,'5 Year Supply Plan'!AV:AV)</f>
        <v>1290</v>
      </c>
      <c r="CI4" s="35">
        <f t="shared" ref="CI4:CI67" si="41">CH4*E4</f>
        <v>1290</v>
      </c>
      <c r="CJ4" s="35">
        <f>SUMIF('5 Year Supply Plan'!A:A,'JZ_BRAND SPLITS'!C4,'5 Year Supply Plan'!AW:AW)</f>
        <v>1279</v>
      </c>
      <c r="CK4" s="35">
        <f t="shared" ref="CK4:CK67" si="42">CJ4*E4</f>
        <v>1279</v>
      </c>
      <c r="CL4" s="35">
        <f>SUMIF('5 Year Supply Plan'!A:A,'JZ_BRAND SPLITS'!C4,'5 Year Supply Plan'!AX:AX)</f>
        <v>1172</v>
      </c>
      <c r="CM4" s="35">
        <f t="shared" ref="CM4:CM67" si="43">CL4*E4</f>
        <v>1172</v>
      </c>
      <c r="CN4" s="35">
        <f>SUMIF('5 Year Supply Plan'!A:A,'JZ_BRAND SPLITS'!C4,'5 Year Supply Plan'!AY:AY)</f>
        <v>1167</v>
      </c>
      <c r="CO4" s="35">
        <f t="shared" ref="CO4:CO67" si="44">CN4*E4</f>
        <v>1167</v>
      </c>
      <c r="CP4" s="35">
        <f>SUMIF('5 Year Supply Plan'!A:A,'JZ_BRAND SPLITS'!C4,'5 Year Supply Plan'!AZ:AZ)</f>
        <v>1190</v>
      </c>
      <c r="CQ4" s="35">
        <f t="shared" ref="CQ4:CQ67" si="45">CP4*E4</f>
        <v>1190</v>
      </c>
      <c r="CR4" s="35">
        <f>SUMIF('5 Year Supply Plan'!A:A,'JZ_BRAND SPLITS'!C4,'5 Year Supply Plan'!BA:BA)</f>
        <v>1220</v>
      </c>
      <c r="CS4" s="35">
        <f t="shared" ref="CS4:CS67" si="46">CR4*E4</f>
        <v>1220</v>
      </c>
      <c r="CT4" s="35">
        <f>SUMIF('5 Year Supply Plan'!A:A,'JZ_BRAND SPLITS'!C4,'5 Year Supply Plan'!BB:BB)</f>
        <v>1087</v>
      </c>
      <c r="CU4" s="35">
        <f t="shared" ref="CU4:CU67" si="47">CT4*E4</f>
        <v>1087</v>
      </c>
      <c r="CV4" s="35">
        <f>SUMIF('5 Year Supply Plan'!A:A,'JZ_BRAND SPLITS'!C4,'5 Year Supply Plan'!BC:BC)</f>
        <v>1271</v>
      </c>
      <c r="CW4" s="35">
        <f t="shared" ref="CW4:CW67" si="48">CV4*E4</f>
        <v>1271</v>
      </c>
      <c r="CX4" s="35">
        <f>SUMIF('5 Year Supply Plan'!A:A,'JZ_BRAND SPLITS'!C4,'5 Year Supply Plan'!BD:BD)</f>
        <v>1271</v>
      </c>
      <c r="CY4" s="35">
        <f t="shared" ref="CY4:CY67" si="49">CX4*E4</f>
        <v>1271</v>
      </c>
      <c r="CZ4" s="35">
        <f>SUMIF('5 Year Supply Plan'!A:A,'JZ_BRAND SPLITS'!C4,'5 Year Supply Plan'!BE:BE)</f>
        <v>1159</v>
      </c>
      <c r="DA4" s="35">
        <f t="shared" ref="DA4:DA67" si="50">CZ4*E4</f>
        <v>1159</v>
      </c>
      <c r="DB4" s="35">
        <f>SUMIF('5 Year Supply Plan'!A:A,'JZ_BRAND SPLITS'!C4,'5 Year Supply Plan'!BF:BF)</f>
        <v>1231</v>
      </c>
      <c r="DC4" s="35">
        <f t="shared" ref="DC4:DC67" si="51">DB4*E4</f>
        <v>1231</v>
      </c>
      <c r="DD4" s="35">
        <f>SUMIF('5 Year Supply Plan'!A:A,'JZ_BRAND SPLITS'!C4,'5 Year Supply Plan'!BG:BG)</f>
        <v>1179</v>
      </c>
      <c r="DE4" s="35">
        <f t="shared" ref="DE4:DE67" si="52">DD4*E4</f>
        <v>1179</v>
      </c>
      <c r="DF4" s="35">
        <f>SUMIF('5 Year Supply Plan'!A:A,'JZ_BRAND SPLITS'!C4,'5 Year Supply Plan'!BH:BH)</f>
        <v>1308</v>
      </c>
      <c r="DG4" s="35">
        <f t="shared" ref="DG4:DG67" si="53">DF4*E4</f>
        <v>1308</v>
      </c>
      <c r="DH4" s="35">
        <f>SUMIF('5 Year Supply Plan'!A:A,'JZ_BRAND SPLITS'!C4,'5 Year Supply Plan'!BI:BI)</f>
        <v>1296</v>
      </c>
      <c r="DI4" s="35">
        <f t="shared" ref="DI4:DI67" si="54">DH4*E4</f>
        <v>1296</v>
      </c>
      <c r="DJ4" s="35">
        <f>SUMIF('5 Year Supply Plan'!A:A,'JZ_BRAND SPLITS'!C4,'5 Year Supply Plan'!BJ:BJ)</f>
        <v>1198</v>
      </c>
      <c r="DK4" s="35">
        <f t="shared" ref="DK4:DK67" si="55">DJ4*E4</f>
        <v>1198</v>
      </c>
      <c r="DL4" s="35">
        <f>SUMIF('5 Year Supply Plan'!A:A,'JZ_BRAND SPLITS'!C4,'5 Year Supply Plan'!BK:BK)</f>
        <v>1303</v>
      </c>
      <c r="DM4" s="35">
        <f t="shared" ref="DM4:DM67" si="56">DL4*E4</f>
        <v>1303</v>
      </c>
      <c r="DN4" s="42">
        <f>SUMIF('5 Year Supply Plan'!A:A,'JZ_BRAND SPLITS'!C4,'5 Year Supply Plan'!BL:BL)</f>
        <v>1491</v>
      </c>
      <c r="DO4" s="35">
        <f t="shared" ref="DO4:DO67" si="57">DN4*E4</f>
        <v>1491</v>
      </c>
      <c r="DP4" s="35">
        <f>SUMIF('5 Year Supply Plan'!A:A,'JZ_BRAND SPLITS'!C4,'5 Year Supply Plan'!BM:BM)</f>
        <v>1243.125</v>
      </c>
      <c r="DQ4" s="35">
        <f t="shared" ref="DQ4:DQ67" si="58">DP4*E4</f>
        <v>1243.125</v>
      </c>
      <c r="DR4" s="35">
        <f>SUMIF('5 Year Supply Plan'!A:A,'JZ_BRAND SPLITS'!C4,'5 Year Supply Plan'!BN:BN)</f>
        <v>1243.125</v>
      </c>
      <c r="DS4" s="35">
        <f t="shared" ref="DS4:DS67" si="59">DR4*E4</f>
        <v>1243.125</v>
      </c>
      <c r="DT4" s="39">
        <f>DS4+DQ4+DO4+DM4+DK4+DI4+DG4+DE4+DC4+DA4+CY4+CW4+CU4+CS4+CQ4+CO4+CM4+CK4+CI4+CG4+CE4+CC4+CA4+BY4+BW4+BU4+BS4+BQ4+BO4+BM4+BK4+BI4+BG4+BE4+BC4+BA4+AY4+AW4+AU4+AS4+AQ4+AO4+AM4+AK4+AI4+AG4+AE4+AC4+AA4+Y4+W4+U4+S4+Q4+O4+M4+K4+I4+G4</f>
        <v>71962.313232</v>
      </c>
      <c r="DU4" s="36">
        <f>SUMIF('5 Year Supply Plan'!A:A,'JZ_BRAND SPLITS'!C4,'5 Year Supply Plan'!BO:BO)</f>
        <v>71962.313232</v>
      </c>
    </row>
    <row r="5" spans="1:125" x14ac:dyDescent="0.25">
      <c r="A5" s="40" t="s">
        <v>248</v>
      </c>
      <c r="B5" s="40" t="s">
        <v>246</v>
      </c>
      <c r="C5" s="40" t="s">
        <v>69</v>
      </c>
      <c r="D5" s="40" t="str">
        <f t="shared" si="0"/>
        <v>A00BAVANTI PLUS</v>
      </c>
      <c r="E5" s="41">
        <v>1.6312045558435354E-2</v>
      </c>
      <c r="F5" s="35">
        <f>SUMIF('5 Year Supply Plan'!A:A,'JZ_BRAND SPLITS'!C5,'5 Year Supply Plan'!H:H)</f>
        <v>563176.734375</v>
      </c>
      <c r="G5" s="35">
        <f t="shared" si="1"/>
        <v>9186.5645485758469</v>
      </c>
      <c r="H5" s="35">
        <f>SUMIF('5 Year Supply Plan'!A:A,'JZ_BRAND SPLITS'!C5,'5 Year Supply Plan'!I:I)</f>
        <v>676363.351563</v>
      </c>
      <c r="I5" s="35">
        <f t="shared" si="2"/>
        <v>11032.869804751685</v>
      </c>
      <c r="J5" s="35">
        <f>SUMIF('5 Year Supply Plan'!A:A,'JZ_BRAND SPLITS'!C5,'5 Year Supply Plan'!J:J)</f>
        <v>563719.9375</v>
      </c>
      <c r="K5" s="35">
        <f t="shared" si="3"/>
        <v>9195.4253026983297</v>
      </c>
      <c r="L5" s="35">
        <f>SUMIF('5 Year Supply Plan'!A:A,'JZ_BRAND SPLITS'!C5,'5 Year Supply Plan'!K:K)</f>
        <v>512615</v>
      </c>
      <c r="M5" s="35">
        <f t="shared" si="4"/>
        <v>8361.7992339373395</v>
      </c>
      <c r="N5" s="35">
        <f>SUMIF('5 Year Supply Plan'!A:A,'JZ_BRAND SPLITS'!C5,'5 Year Supply Plan'!L:L)</f>
        <v>483484</v>
      </c>
      <c r="O5" s="35">
        <f t="shared" si="5"/>
        <v>7886.6130347745584</v>
      </c>
      <c r="P5" s="35">
        <f>SUMIF('5 Year Supply Plan'!A:A,'JZ_BRAND SPLITS'!C5,'5 Year Supply Plan'!M:M)</f>
        <v>511792</v>
      </c>
      <c r="Q5" s="35">
        <f t="shared" si="6"/>
        <v>8348.3744204427476</v>
      </c>
      <c r="R5" s="35">
        <f>SUMIF('5 Year Supply Plan'!A:A,'JZ_BRAND SPLITS'!C5,'5 Year Supply Plan'!N:N)</f>
        <v>480492</v>
      </c>
      <c r="S5" s="35">
        <f t="shared" si="7"/>
        <v>7837.8073944637199</v>
      </c>
      <c r="T5" s="35">
        <f>SUMIF('5 Year Supply Plan'!A:A,'JZ_BRAND SPLITS'!C5,'5 Year Supply Plan'!O:O)</f>
        <v>475448</v>
      </c>
      <c r="U5" s="35">
        <f t="shared" si="8"/>
        <v>7755.5294366669723</v>
      </c>
      <c r="V5" s="35">
        <f>SUMIF('5 Year Supply Plan'!A:A,'JZ_BRAND SPLITS'!C5,'5 Year Supply Plan'!P:P)</f>
        <v>493730</v>
      </c>
      <c r="W5" s="35">
        <f t="shared" si="9"/>
        <v>8053.7462535662871</v>
      </c>
      <c r="X5" s="35">
        <f>SUMIF('5 Year Supply Plan'!A:A,'JZ_BRAND SPLITS'!C5,'5 Year Supply Plan'!Q:Q)</f>
        <v>540517</v>
      </c>
      <c r="Y5" s="35">
        <f t="shared" si="10"/>
        <v>8816.9379291088026</v>
      </c>
      <c r="Z5" s="35">
        <f>SUMIF('5 Year Supply Plan'!A:A,'JZ_BRAND SPLITS'!C5,'5 Year Supply Plan'!R:R)</f>
        <v>475766</v>
      </c>
      <c r="AA5" s="35">
        <f t="shared" si="11"/>
        <v>7760.7166671545547</v>
      </c>
      <c r="AB5" s="35">
        <f>SUMIF('5 Year Supply Plan'!A:A,'JZ_BRAND SPLITS'!C5,'5 Year Supply Plan'!S:S)</f>
        <v>547931</v>
      </c>
      <c r="AC5" s="35">
        <f t="shared" si="12"/>
        <v>8937.8754348790426</v>
      </c>
      <c r="AD5" s="35">
        <f>SUMIF('5 Year Supply Plan'!A:A,'JZ_BRAND SPLITS'!C5,'5 Year Supply Plan'!T:T)</f>
        <v>559087</v>
      </c>
      <c r="AE5" s="35">
        <f t="shared" si="13"/>
        <v>9119.8526151289461</v>
      </c>
      <c r="AF5" s="35">
        <f>SUMIF('5 Year Supply Plan'!A:A,'JZ_BRAND SPLITS'!C5,'5 Year Supply Plan'!U:U)</f>
        <v>524750</v>
      </c>
      <c r="AG5" s="35">
        <f t="shared" si="14"/>
        <v>8559.7459067889522</v>
      </c>
      <c r="AH5" s="35">
        <f>SUMIF('5 Year Supply Plan'!A:A,'JZ_BRAND SPLITS'!C5,'5 Year Supply Plan'!V:V)</f>
        <v>554431</v>
      </c>
      <c r="AI5" s="35">
        <f t="shared" si="15"/>
        <v>9043.9037310088715</v>
      </c>
      <c r="AJ5" s="35">
        <f>SUMIF('5 Year Supply Plan'!A:A,'JZ_BRAND SPLITS'!C5,'5 Year Supply Plan'!W:W)</f>
        <v>525662</v>
      </c>
      <c r="AK5" s="35">
        <f t="shared" si="16"/>
        <v>8574.6224923382451</v>
      </c>
      <c r="AL5" s="35">
        <f>SUMIF('5 Year Supply Plan'!A:A,'JZ_BRAND SPLITS'!C5,'5 Year Supply Plan'!X:X)</f>
        <v>564556</v>
      </c>
      <c r="AM5" s="35">
        <f t="shared" si="17"/>
        <v>9209.0631922880293</v>
      </c>
      <c r="AN5" s="35">
        <f>SUMIF('5 Year Supply Plan'!A:A,'JZ_BRAND SPLITS'!C5,'5 Year Supply Plan'!Y:Y)</f>
        <v>549100</v>
      </c>
      <c r="AO5" s="35">
        <f t="shared" si="18"/>
        <v>8956.9442161368534</v>
      </c>
      <c r="AP5" s="35">
        <f>SUMIF('5 Year Supply Plan'!A:A,'JZ_BRAND SPLITS'!C5,'5 Year Supply Plan'!Z:Z)</f>
        <v>493951</v>
      </c>
      <c r="AQ5" s="35">
        <f t="shared" si="19"/>
        <v>8057.3512156347015</v>
      </c>
      <c r="AR5" s="35">
        <f>SUMIF('5 Year Supply Plan'!A:A,'JZ_BRAND SPLITS'!C5,'5 Year Supply Plan'!AA:AA)</f>
        <v>499570</v>
      </c>
      <c r="AS5" s="35">
        <f t="shared" si="20"/>
        <v>8149.0085996275502</v>
      </c>
      <c r="AT5" s="35">
        <f>SUMIF('5 Year Supply Plan'!A:A,'JZ_BRAND SPLITS'!C5,'5 Year Supply Plan'!AB:AB)</f>
        <v>536652</v>
      </c>
      <c r="AU5" s="35">
        <f t="shared" si="21"/>
        <v>8753.89187302545</v>
      </c>
      <c r="AV5" s="35">
        <f>SUMIF('5 Year Supply Plan'!A:A,'JZ_BRAND SPLITS'!C5,'5 Year Supply Plan'!AC:AC)</f>
        <v>603150</v>
      </c>
      <c r="AW5" s="35">
        <f t="shared" si="22"/>
        <v>9838.6102785702842</v>
      </c>
      <c r="AX5" s="35">
        <f>SUMIF('5 Year Supply Plan'!A:A,'JZ_BRAND SPLITS'!C5,'5 Year Supply Plan'!AD:AD)</f>
        <v>519690</v>
      </c>
      <c r="AY5" s="35">
        <f t="shared" si="23"/>
        <v>8477.2069562632696</v>
      </c>
      <c r="AZ5" s="35">
        <f>SUMIF('5 Year Supply Plan'!A:A,'JZ_BRAND SPLITS'!C5,'5 Year Supply Plan'!AE:AE)</f>
        <v>594140</v>
      </c>
      <c r="BA5" s="35">
        <f t="shared" si="24"/>
        <v>9691.6387480887806</v>
      </c>
      <c r="BB5" s="35">
        <f>SUMIF('5 Year Supply Plan'!A:A,'JZ_BRAND SPLITS'!C5,'5 Year Supply Plan'!AF:AF)</f>
        <v>606784</v>
      </c>
      <c r="BC5" s="35">
        <f t="shared" si="25"/>
        <v>9897.8882521296382</v>
      </c>
      <c r="BD5" s="35">
        <f>SUMIF('5 Year Supply Plan'!A:A,'JZ_BRAND SPLITS'!C5,'5 Year Supply Plan'!AG:AG)</f>
        <v>570808</v>
      </c>
      <c r="BE5" s="35">
        <f t="shared" si="26"/>
        <v>9311.0461011193674</v>
      </c>
      <c r="BF5" s="35">
        <f>SUMIF('5 Year Supply Plan'!A:A,'JZ_BRAND SPLITS'!C5,'5 Year Supply Plan'!AH:AH)</f>
        <v>602016</v>
      </c>
      <c r="BG5" s="35">
        <f t="shared" si="27"/>
        <v>9820.1124189070179</v>
      </c>
      <c r="BH5" s="35">
        <f>SUMIF('5 Year Supply Plan'!A:A,'JZ_BRAND SPLITS'!C5,'5 Year Supply Plan'!AI:AI)</f>
        <v>569110</v>
      </c>
      <c r="BI5" s="35">
        <f t="shared" si="28"/>
        <v>9283.3482477611451</v>
      </c>
      <c r="BJ5" s="35">
        <f>SUMIF('5 Year Supply Plan'!A:A,'JZ_BRAND SPLITS'!C5,'5 Year Supply Plan'!AJ:AJ)</f>
        <v>612307</v>
      </c>
      <c r="BK5" s="35">
        <f t="shared" si="29"/>
        <v>9987.9796797488762</v>
      </c>
      <c r="BL5" s="35">
        <f>SUMIF('5 Year Supply Plan'!A:A,'JZ_BRAND SPLITS'!C5,'5 Year Supply Plan'!AK:AK)</f>
        <v>596015</v>
      </c>
      <c r="BM5" s="35">
        <f t="shared" si="30"/>
        <v>9722.2238335108468</v>
      </c>
      <c r="BN5" s="35">
        <f>SUMIF('5 Year Supply Plan'!A:A,'JZ_BRAND SPLITS'!C5,'5 Year Supply Plan'!AL:AL)</f>
        <v>535369</v>
      </c>
      <c r="BO5" s="35">
        <f t="shared" si="31"/>
        <v>8732.9635185739771</v>
      </c>
      <c r="BP5" s="35">
        <f>SUMIF('5 Year Supply Plan'!A:A,'JZ_BRAND SPLITS'!C5,'5 Year Supply Plan'!AM:AM)</f>
        <v>541992</v>
      </c>
      <c r="BQ5" s="35">
        <f t="shared" si="32"/>
        <v>8840.9981963074952</v>
      </c>
      <c r="BR5" s="35">
        <f>SUMIF('5 Year Supply Plan'!A:A,'JZ_BRAND SPLITS'!C5,'5 Year Supply Plan'!AN:AN)</f>
        <v>585661</v>
      </c>
      <c r="BS5" s="35">
        <f t="shared" si="33"/>
        <v>9553.3289137988086</v>
      </c>
      <c r="BT5" s="35">
        <f>SUMIF('5 Year Supply Plan'!A:A,'JZ_BRAND SPLITS'!C5,'5 Year Supply Plan'!AO:AO)</f>
        <v>661295</v>
      </c>
      <c r="BU5" s="35">
        <f t="shared" si="34"/>
        <v>10787.074167565508</v>
      </c>
      <c r="BV5" s="35">
        <f>SUMIF('5 Year Supply Plan'!A:A,'JZ_BRAND SPLITS'!C5,'5 Year Supply Plan'!AP:AP)</f>
        <v>568036</v>
      </c>
      <c r="BW5" s="35">
        <f t="shared" si="35"/>
        <v>9265.8291108313842</v>
      </c>
      <c r="BX5" s="35">
        <f>SUMIF('5 Year Supply Plan'!A:A,'JZ_BRAND SPLITS'!C5,'5 Year Supply Plan'!AQ:AQ)</f>
        <v>648742</v>
      </c>
      <c r="BY5" s="35">
        <f t="shared" si="36"/>
        <v>10582.309059670468</v>
      </c>
      <c r="BZ5" s="35">
        <f>SUMIF('5 Year Supply Plan'!A:A,'JZ_BRAND SPLITS'!C5,'5 Year Supply Plan'!AR:AR)</f>
        <v>663107</v>
      </c>
      <c r="CA5" s="35">
        <f t="shared" si="37"/>
        <v>10816.631594117393</v>
      </c>
      <c r="CB5" s="35">
        <f>SUMIF('5 Year Supply Plan'!A:A,'JZ_BRAND SPLITS'!C5,'5 Year Supply Plan'!AS:AS)</f>
        <v>624999</v>
      </c>
      <c r="CC5" s="35">
        <f t="shared" si="38"/>
        <v>10195.012161976538</v>
      </c>
      <c r="CD5" s="35">
        <f>SUMIF('5 Year Supply Plan'!A:A,'JZ_BRAND SPLITS'!C5,'5 Year Supply Plan'!AT:AT)</f>
        <v>658341</v>
      </c>
      <c r="CE5" s="35">
        <f t="shared" si="39"/>
        <v>10738.88838498589</v>
      </c>
      <c r="CF5" s="35">
        <f>SUMIF('5 Year Supply Plan'!A:A,'JZ_BRAND SPLITS'!C5,'5 Year Supply Plan'!AU:AU)</f>
        <v>620716</v>
      </c>
      <c r="CG5" s="35">
        <f t="shared" si="40"/>
        <v>10125.147670849759</v>
      </c>
      <c r="CH5" s="35">
        <f>SUMIF('5 Year Supply Plan'!A:A,'JZ_BRAND SPLITS'!C5,'5 Year Supply Plan'!AV:AV)</f>
        <v>668885</v>
      </c>
      <c r="CI5" s="35">
        <f t="shared" si="41"/>
        <v>10910.882593354032</v>
      </c>
      <c r="CJ5" s="35">
        <f>SUMIF('5 Year Supply Plan'!A:A,'JZ_BRAND SPLITS'!C5,'5 Year Supply Plan'!AW:AW)</f>
        <v>651687</v>
      </c>
      <c r="CK5" s="35">
        <f t="shared" si="42"/>
        <v>10630.34803384006</v>
      </c>
      <c r="CL5" s="35">
        <f>SUMIF('5 Year Supply Plan'!A:A,'JZ_BRAND SPLITS'!C5,'5 Year Supply Plan'!AX:AX)</f>
        <v>588125</v>
      </c>
      <c r="CM5" s="35">
        <f t="shared" si="43"/>
        <v>9593.5217940547918</v>
      </c>
      <c r="CN5" s="35">
        <f>SUMIF('5 Year Supply Plan'!A:A,'JZ_BRAND SPLITS'!C5,'5 Year Supply Plan'!AY:AY)</f>
        <v>585427</v>
      </c>
      <c r="CO5" s="35">
        <f t="shared" si="44"/>
        <v>9549.5118951381337</v>
      </c>
      <c r="CP5" s="35">
        <f>SUMIF('5 Year Supply Plan'!A:A,'JZ_BRAND SPLITS'!C5,'5 Year Supply Plan'!AZ:AZ)</f>
        <v>628285</v>
      </c>
      <c r="CQ5" s="35">
        <f t="shared" si="45"/>
        <v>10248.613543681557</v>
      </c>
      <c r="CR5" s="35">
        <f>SUMIF('5 Year Supply Plan'!A:A,'JZ_BRAND SPLITS'!C5,'5 Year Supply Plan'!BA:BA)</f>
        <v>708352</v>
      </c>
      <c r="CS5" s="35">
        <f t="shared" si="46"/>
        <v>11554.670095408799</v>
      </c>
      <c r="CT5" s="35">
        <f>SUMIF('5 Year Supply Plan'!A:A,'JZ_BRAND SPLITS'!C5,'5 Year Supply Plan'!BB:BB)</f>
        <v>606943</v>
      </c>
      <c r="CU5" s="35">
        <f t="shared" si="47"/>
        <v>9900.4818673734298</v>
      </c>
      <c r="CV5" s="35">
        <f>SUMIF('5 Year Supply Plan'!A:A,'JZ_BRAND SPLITS'!C5,'5 Year Supply Plan'!BC:BC)</f>
        <v>692926</v>
      </c>
      <c r="CW5" s="35">
        <f t="shared" si="48"/>
        <v>11303.040480624377</v>
      </c>
      <c r="CX5" s="35">
        <f>SUMIF('5 Year Supply Plan'!A:A,'JZ_BRAND SPLITS'!C5,'5 Year Supply Plan'!BD:BD)</f>
        <v>708698</v>
      </c>
      <c r="CY5" s="35">
        <f t="shared" si="49"/>
        <v>11560.314063172018</v>
      </c>
      <c r="CZ5" s="35">
        <f>SUMIF('5 Year Supply Plan'!A:A,'JZ_BRAND SPLITS'!C5,'5 Year Supply Plan'!BE:BE)</f>
        <v>668755</v>
      </c>
      <c r="DA5" s="35">
        <f t="shared" si="50"/>
        <v>10908.762027431436</v>
      </c>
      <c r="DB5" s="35">
        <f>SUMIF('5 Year Supply Plan'!A:A,'JZ_BRAND SPLITS'!C5,'5 Year Supply Plan'!BF:BF)</f>
        <v>703607</v>
      </c>
      <c r="DC5" s="35">
        <f t="shared" si="51"/>
        <v>11477.269439234024</v>
      </c>
      <c r="DD5" s="35">
        <f>SUMIF('5 Year Supply Plan'!A:A,'JZ_BRAND SPLITS'!C5,'5 Year Supply Plan'!BG:BG)</f>
        <v>662336</v>
      </c>
      <c r="DE5" s="35">
        <f t="shared" si="52"/>
        <v>10804.055006991839</v>
      </c>
      <c r="DF5" s="35">
        <f>SUMIF('5 Year Supply Plan'!A:A,'JZ_BRAND SPLITS'!C5,'5 Year Supply Plan'!BH:BH)</f>
        <v>714368</v>
      </c>
      <c r="DG5" s="35">
        <f t="shared" si="53"/>
        <v>11652.803361488348</v>
      </c>
      <c r="DH5" s="35">
        <f>SUMIF('5 Year Supply Plan'!A:A,'JZ_BRAND SPLITS'!C5,'5 Year Supply Plan'!BI:BI)</f>
        <v>698262</v>
      </c>
      <c r="DI5" s="35">
        <f t="shared" si="54"/>
        <v>11390.081555724188</v>
      </c>
      <c r="DJ5" s="35">
        <f>SUMIF('5 Year Supply Plan'!A:A,'JZ_BRAND SPLITS'!C5,'5 Year Supply Plan'!BJ:BJ)</f>
        <v>660826</v>
      </c>
      <c r="DK5" s="35">
        <f t="shared" si="55"/>
        <v>10779.423818198602</v>
      </c>
      <c r="DL5" s="35">
        <f>SUMIF('5 Year Supply Plan'!A:A,'JZ_BRAND SPLITS'!C5,'5 Year Supply Plan'!BK:BK)</f>
        <v>639327</v>
      </c>
      <c r="DM5" s="35">
        <f t="shared" si="56"/>
        <v>10428.7311507378</v>
      </c>
      <c r="DN5" s="42">
        <f>SUMIF('5 Year Supply Plan'!A:A,'JZ_BRAND SPLITS'!C5,'5 Year Supply Plan'!BL:BL)</f>
        <v>659980</v>
      </c>
      <c r="DO5" s="35">
        <f t="shared" si="57"/>
        <v>10765.623827656165</v>
      </c>
      <c r="DP5" s="35">
        <f>SUMIF('5 Year Supply Plan'!A:A,'JZ_BRAND SPLITS'!C5,'5 Year Supply Plan'!BM:BM)</f>
        <v>682022.375</v>
      </c>
      <c r="DQ5" s="35">
        <f t="shared" si="58"/>
        <v>11125.180052872282</v>
      </c>
      <c r="DR5" s="35">
        <f>SUMIF('5 Year Supply Plan'!A:A,'JZ_BRAND SPLITS'!C5,'5 Year Supply Plan'!BN:BN)</f>
        <v>682022.375</v>
      </c>
      <c r="DS5" s="35">
        <f t="shared" si="59"/>
        <v>11125.180052872282</v>
      </c>
      <c r="DT5" s="39">
        <f t="shared" ref="DT5:DT67" si="60">DS5+DQ5+DO5+DM5+DK5+DI5+DG5+DE5+DC5+DA5+CY5+CW5+CU5+CS5+CQ5+CO5+CM5+CK5+CI5+CG5+CE5+CC5+CA5+BY5+BW5+BU5+BS5+BQ5+BO5+BM5+BK5+BI5+BG5+BE5+BC5+BA5+AY5+AW5+AU5+AS5+AQ5+AO5+AM5+AK5+AI5+AG5+AE5+AC5+AA5+Y5+W5+U5+S5+Q5+O5+M5+K5+I5+G5</f>
        <v>572975.37525762815</v>
      </c>
      <c r="DU5" s="36">
        <f>SUMIF('5 Year Supply Plan'!A:A,'JZ_BRAND SPLITS'!C5,'5 Year Supply Plan'!BO:BO)</f>
        <v>35125905.773437999</v>
      </c>
    </row>
    <row r="6" spans="1:125" x14ac:dyDescent="0.25">
      <c r="A6" s="40" t="s">
        <v>248</v>
      </c>
      <c r="B6" s="40" t="s">
        <v>246</v>
      </c>
      <c r="C6" s="40" t="s">
        <v>108</v>
      </c>
      <c r="D6" s="40" t="str">
        <f t="shared" si="0"/>
        <v>A00BVESSEL DILATOR</v>
      </c>
      <c r="E6" s="41">
        <v>1</v>
      </c>
      <c r="F6" s="35">
        <f>SUMIF('5 Year Supply Plan'!A:A,'JZ_BRAND SPLITS'!C6,'5 Year Supply Plan'!H:H)</f>
        <v>8219.9326170000004</v>
      </c>
      <c r="G6" s="35">
        <f t="shared" si="1"/>
        <v>8219.9326170000004</v>
      </c>
      <c r="H6" s="35">
        <f>SUMIF('5 Year Supply Plan'!A:A,'JZ_BRAND SPLITS'!C6,'5 Year Supply Plan'!I:I)</f>
        <v>10991.340819999999</v>
      </c>
      <c r="I6" s="35">
        <f t="shared" si="2"/>
        <v>10991.340819999999</v>
      </c>
      <c r="J6" s="35">
        <f>SUMIF('5 Year Supply Plan'!A:A,'JZ_BRAND SPLITS'!C6,'5 Year Supply Plan'!J:J)</f>
        <v>9068.703125</v>
      </c>
      <c r="K6" s="35">
        <f t="shared" si="3"/>
        <v>9068.703125</v>
      </c>
      <c r="L6" s="35">
        <f>SUMIF('5 Year Supply Plan'!A:A,'JZ_BRAND SPLITS'!C6,'5 Year Supply Plan'!K:K)</f>
        <v>4197</v>
      </c>
      <c r="M6" s="35">
        <f t="shared" si="4"/>
        <v>4197</v>
      </c>
      <c r="N6" s="35">
        <f>SUMIF('5 Year Supply Plan'!A:A,'JZ_BRAND SPLITS'!C6,'5 Year Supply Plan'!L:L)</f>
        <v>8022</v>
      </c>
      <c r="O6" s="35">
        <f t="shared" si="5"/>
        <v>8022</v>
      </c>
      <c r="P6" s="35">
        <f>SUMIF('5 Year Supply Plan'!A:A,'JZ_BRAND SPLITS'!C6,'5 Year Supply Plan'!M:M)</f>
        <v>8056</v>
      </c>
      <c r="Q6" s="35">
        <f t="shared" si="6"/>
        <v>8056</v>
      </c>
      <c r="R6" s="35">
        <f>SUMIF('5 Year Supply Plan'!A:A,'JZ_BRAND SPLITS'!C6,'5 Year Supply Plan'!N:N)</f>
        <v>7947</v>
      </c>
      <c r="S6" s="35">
        <f t="shared" si="7"/>
        <v>7947</v>
      </c>
      <c r="T6" s="35">
        <f>SUMIF('5 Year Supply Plan'!A:A,'JZ_BRAND SPLITS'!C6,'5 Year Supply Plan'!O:O)</f>
        <v>8411</v>
      </c>
      <c r="U6" s="35">
        <f t="shared" si="8"/>
        <v>8411</v>
      </c>
      <c r="V6" s="35">
        <f>SUMIF('5 Year Supply Plan'!A:A,'JZ_BRAND SPLITS'!C6,'5 Year Supply Plan'!P:P)</f>
        <v>8400</v>
      </c>
      <c r="W6" s="35">
        <f t="shared" si="9"/>
        <v>8400</v>
      </c>
      <c r="X6" s="35">
        <f>SUMIF('5 Year Supply Plan'!A:A,'JZ_BRAND SPLITS'!C6,'5 Year Supply Plan'!Q:Q)</f>
        <v>8307</v>
      </c>
      <c r="Y6" s="35">
        <f t="shared" si="10"/>
        <v>8307</v>
      </c>
      <c r="Z6" s="35">
        <f>SUMIF('5 Year Supply Plan'!A:A,'JZ_BRAND SPLITS'!C6,'5 Year Supply Plan'!R:R)</f>
        <v>7849</v>
      </c>
      <c r="AA6" s="35">
        <f t="shared" si="11"/>
        <v>7849</v>
      </c>
      <c r="AB6" s="35">
        <f>SUMIF('5 Year Supply Plan'!A:A,'JZ_BRAND SPLITS'!C6,'5 Year Supply Plan'!S:S)</f>
        <v>9264</v>
      </c>
      <c r="AC6" s="35">
        <f t="shared" si="12"/>
        <v>9264</v>
      </c>
      <c r="AD6" s="35">
        <f>SUMIF('5 Year Supply Plan'!A:A,'JZ_BRAND SPLITS'!C6,'5 Year Supply Plan'!T:T)</f>
        <v>9613</v>
      </c>
      <c r="AE6" s="35">
        <f t="shared" si="13"/>
        <v>9613</v>
      </c>
      <c r="AF6" s="35">
        <f>SUMIF('5 Year Supply Plan'!A:A,'JZ_BRAND SPLITS'!C6,'5 Year Supply Plan'!U:U)</f>
        <v>9336</v>
      </c>
      <c r="AG6" s="35">
        <f t="shared" si="14"/>
        <v>9336</v>
      </c>
      <c r="AH6" s="35">
        <f>SUMIF('5 Year Supply Plan'!A:A,'JZ_BRAND SPLITS'!C6,'5 Year Supply Plan'!V:V)</f>
        <v>9856</v>
      </c>
      <c r="AI6" s="35">
        <f t="shared" si="15"/>
        <v>9856</v>
      </c>
      <c r="AJ6" s="35">
        <f>SUMIF('5 Year Supply Plan'!A:A,'JZ_BRAND SPLITS'!C6,'5 Year Supply Plan'!W:W)</f>
        <v>9237</v>
      </c>
      <c r="AK6" s="35">
        <f t="shared" si="16"/>
        <v>9237</v>
      </c>
      <c r="AL6" s="35">
        <f>SUMIF('5 Year Supply Plan'!A:A,'JZ_BRAND SPLITS'!C6,'5 Year Supply Plan'!X:X)</f>
        <v>8858</v>
      </c>
      <c r="AM6" s="35">
        <f t="shared" si="17"/>
        <v>8858</v>
      </c>
      <c r="AN6" s="35">
        <f>SUMIF('5 Year Supply Plan'!A:A,'JZ_BRAND SPLITS'!C6,'5 Year Supply Plan'!Y:Y)</f>
        <v>8149</v>
      </c>
      <c r="AO6" s="35">
        <f t="shared" si="18"/>
        <v>8149</v>
      </c>
      <c r="AP6" s="35">
        <f>SUMIF('5 Year Supply Plan'!A:A,'JZ_BRAND SPLITS'!C6,'5 Year Supply Plan'!Z:Z)</f>
        <v>8005</v>
      </c>
      <c r="AQ6" s="35">
        <f t="shared" si="19"/>
        <v>8005</v>
      </c>
      <c r="AR6" s="35">
        <f>SUMIF('5 Year Supply Plan'!A:A,'JZ_BRAND SPLITS'!C6,'5 Year Supply Plan'!AA:AA)</f>
        <v>8456</v>
      </c>
      <c r="AS6" s="35">
        <f t="shared" si="20"/>
        <v>8456</v>
      </c>
      <c r="AT6" s="35">
        <f>SUMIF('5 Year Supply Plan'!A:A,'JZ_BRAND SPLITS'!C6,'5 Year Supply Plan'!AB:AB)</f>
        <v>8402</v>
      </c>
      <c r="AU6" s="35">
        <f t="shared" si="21"/>
        <v>8402</v>
      </c>
      <c r="AV6" s="35">
        <f>SUMIF('5 Year Supply Plan'!A:A,'JZ_BRAND SPLITS'!C6,'5 Year Supply Plan'!AC:AC)</f>
        <v>8422</v>
      </c>
      <c r="AW6" s="35">
        <f t="shared" si="22"/>
        <v>8422</v>
      </c>
      <c r="AX6" s="35">
        <f>SUMIF('5 Year Supply Plan'!A:A,'JZ_BRAND SPLITS'!C6,'5 Year Supply Plan'!AD:AD)</f>
        <v>7924</v>
      </c>
      <c r="AY6" s="35">
        <f t="shared" si="23"/>
        <v>7924</v>
      </c>
      <c r="AZ6" s="35">
        <f>SUMIF('5 Year Supply Plan'!A:A,'JZ_BRAND SPLITS'!C6,'5 Year Supply Plan'!AE:AE)</f>
        <v>9398</v>
      </c>
      <c r="BA6" s="35">
        <f t="shared" si="24"/>
        <v>9398</v>
      </c>
      <c r="BB6" s="35">
        <f>SUMIF('5 Year Supply Plan'!A:A,'JZ_BRAND SPLITS'!C6,'5 Year Supply Plan'!AF:AF)</f>
        <v>9718</v>
      </c>
      <c r="BC6" s="35">
        <f t="shared" si="25"/>
        <v>9718</v>
      </c>
      <c r="BD6" s="35">
        <f>SUMIF('5 Year Supply Plan'!A:A,'JZ_BRAND SPLITS'!C6,'5 Year Supply Plan'!AG:AG)</f>
        <v>9428</v>
      </c>
      <c r="BE6" s="35">
        <f t="shared" si="26"/>
        <v>9428</v>
      </c>
      <c r="BF6" s="35">
        <f>SUMIF('5 Year Supply Plan'!A:A,'JZ_BRAND SPLITS'!C6,'5 Year Supply Plan'!AH:AH)</f>
        <v>9932</v>
      </c>
      <c r="BG6" s="35">
        <f t="shared" si="27"/>
        <v>9932</v>
      </c>
      <c r="BH6" s="35">
        <f>SUMIF('5 Year Supply Plan'!A:A,'JZ_BRAND SPLITS'!C6,'5 Year Supply Plan'!AI:AI)</f>
        <v>9328</v>
      </c>
      <c r="BI6" s="35">
        <f t="shared" si="28"/>
        <v>9328</v>
      </c>
      <c r="BJ6" s="35">
        <f>SUMIF('5 Year Supply Plan'!A:A,'JZ_BRAND SPLITS'!C6,'5 Year Supply Plan'!AJ:AJ)</f>
        <v>8989</v>
      </c>
      <c r="BK6" s="35">
        <f t="shared" si="29"/>
        <v>8989</v>
      </c>
      <c r="BL6" s="35">
        <f>SUMIF('5 Year Supply Plan'!A:A,'JZ_BRAND SPLITS'!C6,'5 Year Supply Plan'!AK:AK)</f>
        <v>8276</v>
      </c>
      <c r="BM6" s="35">
        <f t="shared" si="30"/>
        <v>8276</v>
      </c>
      <c r="BN6" s="35">
        <f>SUMIF('5 Year Supply Plan'!A:A,'JZ_BRAND SPLITS'!C6,'5 Year Supply Plan'!AL:AL)</f>
        <v>8101</v>
      </c>
      <c r="BO6" s="35">
        <f t="shared" si="31"/>
        <v>8101</v>
      </c>
      <c r="BP6" s="35">
        <f>SUMIF('5 Year Supply Plan'!A:A,'JZ_BRAND SPLITS'!C6,'5 Year Supply Plan'!AM:AM)</f>
        <v>8601</v>
      </c>
      <c r="BQ6" s="35">
        <f t="shared" si="32"/>
        <v>8601</v>
      </c>
      <c r="BR6" s="35">
        <f>SUMIF('5 Year Supply Plan'!A:A,'JZ_BRAND SPLITS'!C6,'5 Year Supply Plan'!AN:AN)</f>
        <v>8626</v>
      </c>
      <c r="BS6" s="35">
        <f t="shared" si="33"/>
        <v>8626</v>
      </c>
      <c r="BT6" s="35">
        <f>SUMIF('5 Year Supply Plan'!A:A,'JZ_BRAND SPLITS'!C6,'5 Year Supply Plan'!AO:AO)</f>
        <v>8591</v>
      </c>
      <c r="BU6" s="35">
        <f t="shared" si="34"/>
        <v>8591</v>
      </c>
      <c r="BV6" s="35">
        <f>SUMIF('5 Year Supply Plan'!A:A,'JZ_BRAND SPLITS'!C6,'5 Year Supply Plan'!AP:AP)</f>
        <v>8067</v>
      </c>
      <c r="BW6" s="35">
        <f t="shared" si="35"/>
        <v>8067</v>
      </c>
      <c r="BX6" s="35">
        <f>SUMIF('5 Year Supply Plan'!A:A,'JZ_BRAND SPLITS'!C6,'5 Year Supply Plan'!AQ:AQ)</f>
        <v>9590</v>
      </c>
      <c r="BY6" s="35">
        <f t="shared" si="36"/>
        <v>9590</v>
      </c>
      <c r="BZ6" s="35">
        <f>SUMIF('5 Year Supply Plan'!A:A,'JZ_BRAND SPLITS'!C6,'5 Year Supply Plan'!AR:AR)</f>
        <v>9900</v>
      </c>
      <c r="CA6" s="35">
        <f t="shared" si="37"/>
        <v>9900</v>
      </c>
      <c r="CB6" s="35">
        <f>SUMIF('5 Year Supply Plan'!A:A,'JZ_BRAND SPLITS'!C6,'5 Year Supply Plan'!AS:AS)</f>
        <v>9599</v>
      </c>
      <c r="CC6" s="35">
        <f t="shared" si="38"/>
        <v>9599</v>
      </c>
      <c r="CD6" s="35">
        <f>SUMIF('5 Year Supply Plan'!A:A,'JZ_BRAND SPLITS'!C6,'5 Year Supply Plan'!AT:AT)</f>
        <v>10097</v>
      </c>
      <c r="CE6" s="35">
        <f t="shared" si="39"/>
        <v>10097</v>
      </c>
      <c r="CF6" s="35">
        <f>SUMIF('5 Year Supply Plan'!A:A,'JZ_BRAND SPLITS'!C6,'5 Year Supply Plan'!AU:AU)</f>
        <v>9497</v>
      </c>
      <c r="CG6" s="35">
        <f t="shared" si="40"/>
        <v>9497</v>
      </c>
      <c r="CH6" s="35">
        <f>SUMIF('5 Year Supply Plan'!A:A,'JZ_BRAND SPLITS'!C6,'5 Year Supply Plan'!AV:AV)</f>
        <v>9176</v>
      </c>
      <c r="CI6" s="35">
        <f t="shared" si="41"/>
        <v>9176</v>
      </c>
      <c r="CJ6" s="35">
        <f>SUMIF('5 Year Supply Plan'!A:A,'JZ_BRAND SPLITS'!C6,'5 Year Supply Plan'!AW:AW)</f>
        <v>8451</v>
      </c>
      <c r="CK6" s="35">
        <f t="shared" si="42"/>
        <v>8451</v>
      </c>
      <c r="CL6" s="35">
        <f>SUMIF('5 Year Supply Plan'!A:A,'JZ_BRAND SPLITS'!C6,'5 Year Supply Plan'!AX:AX)</f>
        <v>8247</v>
      </c>
      <c r="CM6" s="35">
        <f t="shared" si="43"/>
        <v>8247</v>
      </c>
      <c r="CN6" s="35">
        <f>SUMIF('5 Year Supply Plan'!A:A,'JZ_BRAND SPLITS'!C6,'5 Year Supply Plan'!AY:AY)</f>
        <v>8747</v>
      </c>
      <c r="CO6" s="35">
        <f t="shared" si="44"/>
        <v>8747</v>
      </c>
      <c r="CP6" s="35">
        <f>SUMIF('5 Year Supply Plan'!A:A,'JZ_BRAND SPLITS'!C6,'5 Year Supply Plan'!AZ:AZ)</f>
        <v>8849</v>
      </c>
      <c r="CQ6" s="35">
        <f t="shared" si="45"/>
        <v>8849</v>
      </c>
      <c r="CR6" s="35">
        <f>SUMIF('5 Year Supply Plan'!A:A,'JZ_BRAND SPLITS'!C6,'5 Year Supply Plan'!BA:BA)</f>
        <v>8819</v>
      </c>
      <c r="CS6" s="35">
        <f t="shared" si="46"/>
        <v>8819</v>
      </c>
      <c r="CT6" s="35">
        <f>SUMIF('5 Year Supply Plan'!A:A,'JZ_BRAND SPLITS'!C6,'5 Year Supply Plan'!BB:BB)</f>
        <v>8252</v>
      </c>
      <c r="CU6" s="35">
        <f t="shared" si="47"/>
        <v>8252</v>
      </c>
      <c r="CV6" s="35">
        <f>SUMIF('5 Year Supply Plan'!A:A,'JZ_BRAND SPLITS'!C6,'5 Year Supply Plan'!BC:BC)</f>
        <v>9856</v>
      </c>
      <c r="CW6" s="35">
        <f t="shared" si="48"/>
        <v>9856</v>
      </c>
      <c r="CX6" s="35">
        <f>SUMIF('5 Year Supply Plan'!A:A,'JZ_BRAND SPLITS'!C6,'5 Year Supply Plan'!BD:BD)</f>
        <v>10136</v>
      </c>
      <c r="CY6" s="35">
        <f t="shared" si="49"/>
        <v>10136</v>
      </c>
      <c r="CZ6" s="35">
        <f>SUMIF('5 Year Supply Plan'!A:A,'JZ_BRAND SPLITS'!C6,'5 Year Supply Plan'!BE:BE)</f>
        <v>9820</v>
      </c>
      <c r="DA6" s="35">
        <f t="shared" si="50"/>
        <v>9820</v>
      </c>
      <c r="DB6" s="35">
        <f>SUMIF('5 Year Supply Plan'!A:A,'JZ_BRAND SPLITS'!C6,'5 Year Supply Plan'!BF:BF)</f>
        <v>10306</v>
      </c>
      <c r="DC6" s="35">
        <f t="shared" si="51"/>
        <v>10306</v>
      </c>
      <c r="DD6" s="35">
        <f>SUMIF('5 Year Supply Plan'!A:A,'JZ_BRAND SPLITS'!C6,'5 Year Supply Plan'!BG:BG)</f>
        <v>9713</v>
      </c>
      <c r="DE6" s="35">
        <f t="shared" si="52"/>
        <v>9713</v>
      </c>
      <c r="DF6" s="35">
        <f>SUMIF('5 Year Supply Plan'!A:A,'JZ_BRAND SPLITS'!C6,'5 Year Supply Plan'!BH:BH)</f>
        <v>9431</v>
      </c>
      <c r="DG6" s="35">
        <f t="shared" si="53"/>
        <v>9431</v>
      </c>
      <c r="DH6" s="35">
        <f>SUMIF('5 Year Supply Plan'!A:A,'JZ_BRAND SPLITS'!C6,'5 Year Supply Plan'!BI:BI)</f>
        <v>8699</v>
      </c>
      <c r="DI6" s="35">
        <f t="shared" si="54"/>
        <v>8699</v>
      </c>
      <c r="DJ6" s="35">
        <f>SUMIF('5 Year Supply Plan'!A:A,'JZ_BRAND SPLITS'!C6,'5 Year Supply Plan'!BJ:BJ)</f>
        <v>8382</v>
      </c>
      <c r="DK6" s="35">
        <f t="shared" si="55"/>
        <v>8382</v>
      </c>
      <c r="DL6" s="35">
        <f>SUMIF('5 Year Supply Plan'!A:A,'JZ_BRAND SPLITS'!C6,'5 Year Supply Plan'!BK:BK)</f>
        <v>8643</v>
      </c>
      <c r="DM6" s="35">
        <f t="shared" si="56"/>
        <v>8643</v>
      </c>
      <c r="DN6" s="42">
        <f>SUMIF('5 Year Supply Plan'!A:A,'JZ_BRAND SPLITS'!C6,'5 Year Supply Plan'!BL:BL)</f>
        <v>8788</v>
      </c>
      <c r="DO6" s="35">
        <f t="shared" si="57"/>
        <v>8788</v>
      </c>
      <c r="DP6" s="35">
        <f>SUMIF('5 Year Supply Plan'!A:A,'JZ_BRAND SPLITS'!C6,'5 Year Supply Plan'!BM:BM)</f>
        <v>9391.25</v>
      </c>
      <c r="DQ6" s="35">
        <f t="shared" si="58"/>
        <v>9391.25</v>
      </c>
      <c r="DR6" s="35">
        <f>SUMIF('5 Year Supply Plan'!A:A,'JZ_BRAND SPLITS'!C6,'5 Year Supply Plan'!BN:BN)</f>
        <v>9391.25</v>
      </c>
      <c r="DS6" s="35">
        <f t="shared" si="59"/>
        <v>9391.25</v>
      </c>
      <c r="DT6" s="39">
        <f t="shared" si="60"/>
        <v>523826.476562</v>
      </c>
      <c r="DU6" s="36">
        <f>SUMIF('5 Year Supply Plan'!A:A,'JZ_BRAND SPLITS'!C6,'5 Year Supply Plan'!BO:BO)</f>
        <v>523826.476562</v>
      </c>
    </row>
    <row r="7" spans="1:125" x14ac:dyDescent="0.25">
      <c r="A7" s="40" t="s">
        <v>248</v>
      </c>
      <c r="B7" s="40" t="s">
        <v>246</v>
      </c>
      <c r="C7" s="40" t="s">
        <v>71</v>
      </c>
      <c r="D7" s="40" t="str">
        <f t="shared" si="0"/>
        <v>A00BBRITE TIP (MODIFIED)</v>
      </c>
      <c r="E7" s="41">
        <v>0.86857142857142855</v>
      </c>
      <c r="F7" s="35">
        <f>SUMIF('5 Year Supply Plan'!A:A,'JZ_BRAND SPLITS'!C7,'5 Year Supply Plan'!H:H)</f>
        <v>3.340271</v>
      </c>
      <c r="G7" s="35">
        <f t="shared" si="1"/>
        <v>2.9012639542857142</v>
      </c>
      <c r="H7" s="35">
        <f>SUMIF('5 Year Supply Plan'!A:A,'JZ_BRAND SPLITS'!C7,'5 Year Supply Plan'!I:I)</f>
        <v>5.3099540000000003</v>
      </c>
      <c r="I7" s="35">
        <f t="shared" si="2"/>
        <v>4.6120743314285715</v>
      </c>
      <c r="J7" s="35">
        <f>SUMIF('5 Year Supply Plan'!A:A,'JZ_BRAND SPLITS'!C7,'5 Year Supply Plan'!J:J)</f>
        <v>11.367846</v>
      </c>
      <c r="K7" s="35">
        <f t="shared" si="3"/>
        <v>9.8737862399999994</v>
      </c>
      <c r="L7" s="35">
        <f>SUMIF('5 Year Supply Plan'!A:A,'JZ_BRAND SPLITS'!C7,'5 Year Supply Plan'!K:K)</f>
        <v>0</v>
      </c>
      <c r="M7" s="35">
        <f t="shared" si="4"/>
        <v>0</v>
      </c>
      <c r="N7" s="35">
        <f>SUMIF('5 Year Supply Plan'!A:A,'JZ_BRAND SPLITS'!C7,'5 Year Supply Plan'!L:L)</f>
        <v>0</v>
      </c>
      <c r="O7" s="35">
        <f t="shared" si="5"/>
        <v>0</v>
      </c>
      <c r="P7" s="35">
        <f>SUMIF('5 Year Supply Plan'!A:A,'JZ_BRAND SPLITS'!C7,'5 Year Supply Plan'!M:M)</f>
        <v>0</v>
      </c>
      <c r="Q7" s="35">
        <f t="shared" si="6"/>
        <v>0</v>
      </c>
      <c r="R7" s="35">
        <f>SUMIF('5 Year Supply Plan'!A:A,'JZ_BRAND SPLITS'!C7,'5 Year Supply Plan'!N:N)</f>
        <v>0</v>
      </c>
      <c r="S7" s="35">
        <f t="shared" si="7"/>
        <v>0</v>
      </c>
      <c r="T7" s="35">
        <f>SUMIF('5 Year Supply Plan'!A:A,'JZ_BRAND SPLITS'!C7,'5 Year Supply Plan'!O:O)</f>
        <v>0</v>
      </c>
      <c r="U7" s="35">
        <f t="shared" si="8"/>
        <v>0</v>
      </c>
      <c r="V7" s="35">
        <f>SUMIF('5 Year Supply Plan'!A:A,'JZ_BRAND SPLITS'!C7,'5 Year Supply Plan'!P:P)</f>
        <v>0</v>
      </c>
      <c r="W7" s="35">
        <f t="shared" si="9"/>
        <v>0</v>
      </c>
      <c r="X7" s="35">
        <f>SUMIF('5 Year Supply Plan'!A:A,'JZ_BRAND SPLITS'!C7,'5 Year Supply Plan'!Q:Q)</f>
        <v>0</v>
      </c>
      <c r="Y7" s="35">
        <f t="shared" si="10"/>
        <v>0</v>
      </c>
      <c r="Z7" s="35">
        <f>SUMIF('5 Year Supply Plan'!A:A,'JZ_BRAND SPLITS'!C7,'5 Year Supply Plan'!R:R)</f>
        <v>0</v>
      </c>
      <c r="AA7" s="35">
        <f t="shared" si="11"/>
        <v>0</v>
      </c>
      <c r="AB7" s="35">
        <f>SUMIF('5 Year Supply Plan'!A:A,'JZ_BRAND SPLITS'!C7,'5 Year Supply Plan'!S:S)</f>
        <v>0</v>
      </c>
      <c r="AC7" s="35">
        <f t="shared" si="12"/>
        <v>0</v>
      </c>
      <c r="AD7" s="35">
        <f>SUMIF('5 Year Supply Plan'!A:A,'JZ_BRAND SPLITS'!C7,'5 Year Supply Plan'!T:T)</f>
        <v>0</v>
      </c>
      <c r="AE7" s="35">
        <f t="shared" si="13"/>
        <v>0</v>
      </c>
      <c r="AF7" s="35">
        <f>SUMIF('5 Year Supply Plan'!A:A,'JZ_BRAND SPLITS'!C7,'5 Year Supply Plan'!U:U)</f>
        <v>0</v>
      </c>
      <c r="AG7" s="35">
        <f t="shared" si="14"/>
        <v>0</v>
      </c>
      <c r="AH7" s="35">
        <f>SUMIF('5 Year Supply Plan'!A:A,'JZ_BRAND SPLITS'!C7,'5 Year Supply Plan'!V:V)</f>
        <v>0</v>
      </c>
      <c r="AI7" s="35">
        <f t="shared" si="15"/>
        <v>0</v>
      </c>
      <c r="AJ7" s="35">
        <f>SUMIF('5 Year Supply Plan'!A:A,'JZ_BRAND SPLITS'!C7,'5 Year Supply Plan'!W:W)</f>
        <v>0</v>
      </c>
      <c r="AK7" s="35">
        <f t="shared" si="16"/>
        <v>0</v>
      </c>
      <c r="AL7" s="35">
        <f>SUMIF('5 Year Supply Plan'!A:A,'JZ_BRAND SPLITS'!C7,'5 Year Supply Plan'!X:X)</f>
        <v>0</v>
      </c>
      <c r="AM7" s="35">
        <f t="shared" si="17"/>
        <v>0</v>
      </c>
      <c r="AN7" s="35">
        <f>SUMIF('5 Year Supply Plan'!A:A,'JZ_BRAND SPLITS'!C7,'5 Year Supply Plan'!Y:Y)</f>
        <v>0</v>
      </c>
      <c r="AO7" s="35">
        <f t="shared" si="18"/>
        <v>0</v>
      </c>
      <c r="AP7" s="35">
        <f>SUMIF('5 Year Supply Plan'!A:A,'JZ_BRAND SPLITS'!C7,'5 Year Supply Plan'!Z:Z)</f>
        <v>0</v>
      </c>
      <c r="AQ7" s="35">
        <f t="shared" si="19"/>
        <v>0</v>
      </c>
      <c r="AR7" s="35">
        <f>SUMIF('5 Year Supply Plan'!A:A,'JZ_BRAND SPLITS'!C7,'5 Year Supply Plan'!AA:AA)</f>
        <v>0</v>
      </c>
      <c r="AS7" s="35">
        <f t="shared" si="20"/>
        <v>0</v>
      </c>
      <c r="AT7" s="35">
        <f>SUMIF('5 Year Supply Plan'!A:A,'JZ_BRAND SPLITS'!C7,'5 Year Supply Plan'!AB:AB)</f>
        <v>0</v>
      </c>
      <c r="AU7" s="35">
        <f t="shared" si="21"/>
        <v>0</v>
      </c>
      <c r="AV7" s="35">
        <f>SUMIF('5 Year Supply Plan'!A:A,'JZ_BRAND SPLITS'!C7,'5 Year Supply Plan'!AC:AC)</f>
        <v>0</v>
      </c>
      <c r="AW7" s="35">
        <f t="shared" si="22"/>
        <v>0</v>
      </c>
      <c r="AX7" s="35">
        <f>SUMIF('5 Year Supply Plan'!A:A,'JZ_BRAND SPLITS'!C7,'5 Year Supply Plan'!AD:AD)</f>
        <v>0</v>
      </c>
      <c r="AY7" s="35">
        <f t="shared" si="23"/>
        <v>0</v>
      </c>
      <c r="AZ7" s="35">
        <f>SUMIF('5 Year Supply Plan'!A:A,'JZ_BRAND SPLITS'!C7,'5 Year Supply Plan'!AE:AE)</f>
        <v>0</v>
      </c>
      <c r="BA7" s="35">
        <f t="shared" si="24"/>
        <v>0</v>
      </c>
      <c r="BB7" s="35">
        <f>SUMIF('5 Year Supply Plan'!A:A,'JZ_BRAND SPLITS'!C7,'5 Year Supply Plan'!AF:AF)</f>
        <v>0</v>
      </c>
      <c r="BC7" s="35">
        <f t="shared" si="25"/>
        <v>0</v>
      </c>
      <c r="BD7" s="35">
        <f>SUMIF('5 Year Supply Plan'!A:A,'JZ_BRAND SPLITS'!C7,'5 Year Supply Plan'!AG:AG)</f>
        <v>0</v>
      </c>
      <c r="BE7" s="35">
        <f t="shared" si="26"/>
        <v>0</v>
      </c>
      <c r="BF7" s="35">
        <f>SUMIF('5 Year Supply Plan'!A:A,'JZ_BRAND SPLITS'!C7,'5 Year Supply Plan'!AH:AH)</f>
        <v>0</v>
      </c>
      <c r="BG7" s="35">
        <f t="shared" si="27"/>
        <v>0</v>
      </c>
      <c r="BH7" s="35">
        <f>SUMIF('5 Year Supply Plan'!A:A,'JZ_BRAND SPLITS'!C7,'5 Year Supply Plan'!AI:AI)</f>
        <v>0</v>
      </c>
      <c r="BI7" s="35">
        <f t="shared" si="28"/>
        <v>0</v>
      </c>
      <c r="BJ7" s="35">
        <f>SUMIF('5 Year Supply Plan'!A:A,'JZ_BRAND SPLITS'!C7,'5 Year Supply Plan'!AJ:AJ)</f>
        <v>0</v>
      </c>
      <c r="BK7" s="35">
        <f t="shared" si="29"/>
        <v>0</v>
      </c>
      <c r="BL7" s="35">
        <f>SUMIF('5 Year Supply Plan'!A:A,'JZ_BRAND SPLITS'!C7,'5 Year Supply Plan'!AK:AK)</f>
        <v>0</v>
      </c>
      <c r="BM7" s="35">
        <f t="shared" si="30"/>
        <v>0</v>
      </c>
      <c r="BN7" s="35">
        <f>SUMIF('5 Year Supply Plan'!A:A,'JZ_BRAND SPLITS'!C7,'5 Year Supply Plan'!AL:AL)</f>
        <v>0</v>
      </c>
      <c r="BO7" s="35">
        <f t="shared" si="31"/>
        <v>0</v>
      </c>
      <c r="BP7" s="35">
        <f>SUMIF('5 Year Supply Plan'!A:A,'JZ_BRAND SPLITS'!C7,'5 Year Supply Plan'!AM:AM)</f>
        <v>0</v>
      </c>
      <c r="BQ7" s="35">
        <f t="shared" si="32"/>
        <v>0</v>
      </c>
      <c r="BR7" s="35">
        <f>SUMIF('5 Year Supply Plan'!A:A,'JZ_BRAND SPLITS'!C7,'5 Year Supply Plan'!AN:AN)</f>
        <v>0</v>
      </c>
      <c r="BS7" s="35">
        <f t="shared" si="33"/>
        <v>0</v>
      </c>
      <c r="BT7" s="35">
        <f>SUMIF('5 Year Supply Plan'!A:A,'JZ_BRAND SPLITS'!C7,'5 Year Supply Plan'!AO:AO)</f>
        <v>0</v>
      </c>
      <c r="BU7" s="35">
        <f t="shared" si="34"/>
        <v>0</v>
      </c>
      <c r="BV7" s="35">
        <f>SUMIF('5 Year Supply Plan'!A:A,'JZ_BRAND SPLITS'!C7,'5 Year Supply Plan'!AP:AP)</f>
        <v>0</v>
      </c>
      <c r="BW7" s="35">
        <f t="shared" si="35"/>
        <v>0</v>
      </c>
      <c r="BX7" s="35">
        <f>SUMIF('5 Year Supply Plan'!A:A,'JZ_BRAND SPLITS'!C7,'5 Year Supply Plan'!AQ:AQ)</f>
        <v>0</v>
      </c>
      <c r="BY7" s="35">
        <f t="shared" si="36"/>
        <v>0</v>
      </c>
      <c r="BZ7" s="35">
        <f>SUMIF('5 Year Supply Plan'!A:A,'JZ_BRAND SPLITS'!C7,'5 Year Supply Plan'!AR:AR)</f>
        <v>0</v>
      </c>
      <c r="CA7" s="35">
        <f t="shared" si="37"/>
        <v>0</v>
      </c>
      <c r="CB7" s="35">
        <f>SUMIF('5 Year Supply Plan'!A:A,'JZ_BRAND SPLITS'!C7,'5 Year Supply Plan'!AS:AS)</f>
        <v>0</v>
      </c>
      <c r="CC7" s="35">
        <f t="shared" si="38"/>
        <v>0</v>
      </c>
      <c r="CD7" s="35">
        <f>SUMIF('5 Year Supply Plan'!A:A,'JZ_BRAND SPLITS'!C7,'5 Year Supply Plan'!AT:AT)</f>
        <v>0</v>
      </c>
      <c r="CE7" s="35">
        <f t="shared" si="39"/>
        <v>0</v>
      </c>
      <c r="CF7" s="35">
        <f>SUMIF('5 Year Supply Plan'!A:A,'JZ_BRAND SPLITS'!C7,'5 Year Supply Plan'!AU:AU)</f>
        <v>0</v>
      </c>
      <c r="CG7" s="35">
        <f t="shared" si="40"/>
        <v>0</v>
      </c>
      <c r="CH7" s="35">
        <f>SUMIF('5 Year Supply Plan'!A:A,'JZ_BRAND SPLITS'!C7,'5 Year Supply Plan'!AV:AV)</f>
        <v>0</v>
      </c>
      <c r="CI7" s="35">
        <f t="shared" si="41"/>
        <v>0</v>
      </c>
      <c r="CJ7" s="35">
        <f>SUMIF('5 Year Supply Plan'!A:A,'JZ_BRAND SPLITS'!C7,'5 Year Supply Plan'!AW:AW)</f>
        <v>0</v>
      </c>
      <c r="CK7" s="35">
        <f t="shared" si="42"/>
        <v>0</v>
      </c>
      <c r="CL7" s="35">
        <f>SUMIF('5 Year Supply Plan'!A:A,'JZ_BRAND SPLITS'!C7,'5 Year Supply Plan'!AX:AX)</f>
        <v>0</v>
      </c>
      <c r="CM7" s="35">
        <f t="shared" si="43"/>
        <v>0</v>
      </c>
      <c r="CN7" s="35">
        <f>SUMIF('5 Year Supply Plan'!A:A,'JZ_BRAND SPLITS'!C7,'5 Year Supply Plan'!AY:AY)</f>
        <v>0</v>
      </c>
      <c r="CO7" s="35">
        <f t="shared" si="44"/>
        <v>0</v>
      </c>
      <c r="CP7" s="35">
        <f>SUMIF('5 Year Supply Plan'!A:A,'JZ_BRAND SPLITS'!C7,'5 Year Supply Plan'!AZ:AZ)</f>
        <v>0</v>
      </c>
      <c r="CQ7" s="35">
        <f t="shared" si="45"/>
        <v>0</v>
      </c>
      <c r="CR7" s="35">
        <f>SUMIF('5 Year Supply Plan'!A:A,'JZ_BRAND SPLITS'!C7,'5 Year Supply Plan'!BA:BA)</f>
        <v>0</v>
      </c>
      <c r="CS7" s="35">
        <f t="shared" si="46"/>
        <v>0</v>
      </c>
      <c r="CT7" s="35">
        <f>SUMIF('5 Year Supply Plan'!A:A,'JZ_BRAND SPLITS'!C7,'5 Year Supply Plan'!BB:BB)</f>
        <v>0</v>
      </c>
      <c r="CU7" s="35">
        <f t="shared" si="47"/>
        <v>0</v>
      </c>
      <c r="CV7" s="35">
        <f>SUMIF('5 Year Supply Plan'!A:A,'JZ_BRAND SPLITS'!C7,'5 Year Supply Plan'!BC:BC)</f>
        <v>0</v>
      </c>
      <c r="CW7" s="35">
        <f t="shared" si="48"/>
        <v>0</v>
      </c>
      <c r="CX7" s="35">
        <f>SUMIF('5 Year Supply Plan'!A:A,'JZ_BRAND SPLITS'!C7,'5 Year Supply Plan'!BD:BD)</f>
        <v>0</v>
      </c>
      <c r="CY7" s="35">
        <f t="shared" si="49"/>
        <v>0</v>
      </c>
      <c r="CZ7" s="35">
        <f>SUMIF('5 Year Supply Plan'!A:A,'JZ_BRAND SPLITS'!C7,'5 Year Supply Plan'!BE:BE)</f>
        <v>0</v>
      </c>
      <c r="DA7" s="35">
        <f t="shared" si="50"/>
        <v>0</v>
      </c>
      <c r="DB7" s="35">
        <f>SUMIF('5 Year Supply Plan'!A:A,'JZ_BRAND SPLITS'!C7,'5 Year Supply Plan'!BF:BF)</f>
        <v>0</v>
      </c>
      <c r="DC7" s="35">
        <f t="shared" si="51"/>
        <v>0</v>
      </c>
      <c r="DD7" s="35">
        <f>SUMIF('5 Year Supply Plan'!A:A,'JZ_BRAND SPLITS'!C7,'5 Year Supply Plan'!BG:BG)</f>
        <v>0</v>
      </c>
      <c r="DE7" s="35">
        <f t="shared" si="52"/>
        <v>0</v>
      </c>
      <c r="DF7" s="35">
        <f>SUMIF('5 Year Supply Plan'!A:A,'JZ_BRAND SPLITS'!C7,'5 Year Supply Plan'!BH:BH)</f>
        <v>0</v>
      </c>
      <c r="DG7" s="35">
        <f t="shared" si="53"/>
        <v>0</v>
      </c>
      <c r="DH7" s="35">
        <f>SUMIF('5 Year Supply Plan'!A:A,'JZ_BRAND SPLITS'!C7,'5 Year Supply Plan'!BI:BI)</f>
        <v>0</v>
      </c>
      <c r="DI7" s="35">
        <f t="shared" si="54"/>
        <v>0</v>
      </c>
      <c r="DJ7" s="35">
        <f>SUMIF('5 Year Supply Plan'!A:A,'JZ_BRAND SPLITS'!C7,'5 Year Supply Plan'!BJ:BJ)</f>
        <v>0</v>
      </c>
      <c r="DK7" s="35">
        <f t="shared" si="55"/>
        <v>0</v>
      </c>
      <c r="DL7" s="35">
        <f>SUMIF('5 Year Supply Plan'!A:A,'JZ_BRAND SPLITS'!C7,'5 Year Supply Plan'!BK:BK)</f>
        <v>0</v>
      </c>
      <c r="DM7" s="35">
        <f t="shared" si="56"/>
        <v>0</v>
      </c>
      <c r="DN7" s="42">
        <f>SUMIF('5 Year Supply Plan'!A:A,'JZ_BRAND SPLITS'!C7,'5 Year Supply Plan'!BL:BL)</f>
        <v>0</v>
      </c>
      <c r="DO7" s="35">
        <f t="shared" si="57"/>
        <v>0</v>
      </c>
      <c r="DP7" s="35">
        <f>SUMIF('5 Year Supply Plan'!A:A,'JZ_BRAND SPLITS'!C7,'5 Year Supply Plan'!BM:BM)</f>
        <v>0</v>
      </c>
      <c r="DQ7" s="35">
        <f t="shared" si="58"/>
        <v>0</v>
      </c>
      <c r="DR7" s="35">
        <f>SUMIF('5 Year Supply Plan'!A:A,'JZ_BRAND SPLITS'!C7,'5 Year Supply Plan'!BN:BN)</f>
        <v>0</v>
      </c>
      <c r="DS7" s="35">
        <f t="shared" si="59"/>
        <v>0</v>
      </c>
      <c r="DT7" s="39">
        <f t="shared" si="60"/>
        <v>17.387124525714285</v>
      </c>
      <c r="DU7" s="36">
        <f>SUMIF('5 Year Supply Plan'!A:A,'JZ_BRAND SPLITS'!C7,'5 Year Supply Plan'!BO:BO)</f>
        <v>20.018070999999999</v>
      </c>
    </row>
    <row r="8" spans="1:125" x14ac:dyDescent="0.25">
      <c r="A8" s="40" t="s">
        <v>248</v>
      </c>
      <c r="B8" s="40" t="s">
        <v>246</v>
      </c>
      <c r="C8" s="40" t="s">
        <v>110</v>
      </c>
      <c r="D8" s="40" t="str">
        <f t="shared" si="0"/>
        <v>A00BVISTA BRITE TIP (MODIFIED)</v>
      </c>
      <c r="E8" s="41">
        <v>0</v>
      </c>
      <c r="F8" s="35">
        <f>SUMIF('5 Year Supply Plan'!A:A,'JZ_BRAND SPLITS'!C8,'5 Year Supply Plan'!H:H)</f>
        <v>2205</v>
      </c>
      <c r="G8" s="35">
        <f t="shared" si="1"/>
        <v>0</v>
      </c>
      <c r="H8" s="35">
        <f>SUMIF('5 Year Supply Plan'!A:A,'JZ_BRAND SPLITS'!C8,'5 Year Supply Plan'!I:I)</f>
        <v>2880</v>
      </c>
      <c r="I8" s="35">
        <f t="shared" si="2"/>
        <v>0</v>
      </c>
      <c r="J8" s="35">
        <f>SUMIF('5 Year Supply Plan'!A:A,'JZ_BRAND SPLITS'!C8,'5 Year Supply Plan'!J:J)</f>
        <v>2400</v>
      </c>
      <c r="K8" s="35">
        <f t="shared" si="3"/>
        <v>0</v>
      </c>
      <c r="L8" s="35">
        <f>SUMIF('5 Year Supply Plan'!A:A,'JZ_BRAND SPLITS'!C8,'5 Year Supply Plan'!K:K)</f>
        <v>1132</v>
      </c>
      <c r="M8" s="35">
        <f t="shared" si="4"/>
        <v>0</v>
      </c>
      <c r="N8" s="35">
        <f>SUMIF('5 Year Supply Plan'!A:A,'JZ_BRAND SPLITS'!C8,'5 Year Supply Plan'!L:L)</f>
        <v>836</v>
      </c>
      <c r="O8" s="35">
        <f t="shared" si="5"/>
        <v>0</v>
      </c>
      <c r="P8" s="35">
        <f>SUMIF('5 Year Supply Plan'!A:A,'JZ_BRAND SPLITS'!C8,'5 Year Supply Plan'!M:M)</f>
        <v>1187</v>
      </c>
      <c r="Q8" s="35">
        <f t="shared" si="6"/>
        <v>0</v>
      </c>
      <c r="R8" s="35">
        <f>SUMIF('5 Year Supply Plan'!A:A,'JZ_BRAND SPLITS'!C8,'5 Year Supply Plan'!N:N)</f>
        <v>1117</v>
      </c>
      <c r="S8" s="35">
        <f t="shared" si="7"/>
        <v>0</v>
      </c>
      <c r="T8" s="35">
        <f>SUMIF('5 Year Supply Plan'!A:A,'JZ_BRAND SPLITS'!C8,'5 Year Supply Plan'!O:O)</f>
        <v>1171</v>
      </c>
      <c r="U8" s="35">
        <f t="shared" si="8"/>
        <v>0</v>
      </c>
      <c r="V8" s="35">
        <f>SUMIF('5 Year Supply Plan'!A:A,'JZ_BRAND SPLITS'!C8,'5 Year Supply Plan'!P:P)</f>
        <v>617</v>
      </c>
      <c r="W8" s="35">
        <f t="shared" si="9"/>
        <v>0</v>
      </c>
      <c r="X8" s="35">
        <f>SUMIF('5 Year Supply Plan'!A:A,'JZ_BRAND SPLITS'!C8,'5 Year Supply Plan'!Q:Q)</f>
        <v>541</v>
      </c>
      <c r="Y8" s="35">
        <f t="shared" si="10"/>
        <v>0</v>
      </c>
      <c r="Z8" s="35">
        <f>SUMIF('5 Year Supply Plan'!A:A,'JZ_BRAND SPLITS'!C8,'5 Year Supply Plan'!R:R)</f>
        <v>496</v>
      </c>
      <c r="AA8" s="35">
        <f t="shared" si="11"/>
        <v>0</v>
      </c>
      <c r="AB8" s="35">
        <f>SUMIF('5 Year Supply Plan'!A:A,'JZ_BRAND SPLITS'!C8,'5 Year Supply Plan'!S:S)</f>
        <v>682</v>
      </c>
      <c r="AC8" s="35">
        <f t="shared" si="12"/>
        <v>0</v>
      </c>
      <c r="AD8" s="35">
        <f>SUMIF('5 Year Supply Plan'!A:A,'JZ_BRAND SPLITS'!C8,'5 Year Supply Plan'!T:T)</f>
        <v>570</v>
      </c>
      <c r="AE8" s="35">
        <f t="shared" si="13"/>
        <v>0</v>
      </c>
      <c r="AF8" s="35">
        <f>SUMIF('5 Year Supply Plan'!A:A,'JZ_BRAND SPLITS'!C8,'5 Year Supply Plan'!U:U)</f>
        <v>510</v>
      </c>
      <c r="AG8" s="35">
        <f t="shared" si="14"/>
        <v>0</v>
      </c>
      <c r="AH8" s="35">
        <f>SUMIF('5 Year Supply Plan'!A:A,'JZ_BRAND SPLITS'!C8,'5 Year Supply Plan'!V:V)</f>
        <v>568</v>
      </c>
      <c r="AI8" s="35">
        <f t="shared" si="15"/>
        <v>0</v>
      </c>
      <c r="AJ8" s="35">
        <f>SUMIF('5 Year Supply Plan'!A:A,'JZ_BRAND SPLITS'!C8,'5 Year Supply Plan'!W:W)</f>
        <v>513</v>
      </c>
      <c r="AK8" s="35">
        <f t="shared" si="16"/>
        <v>0</v>
      </c>
      <c r="AL8" s="35">
        <f>SUMIF('5 Year Supply Plan'!A:A,'JZ_BRAND SPLITS'!C8,'5 Year Supply Plan'!X:X)</f>
        <v>564</v>
      </c>
      <c r="AM8" s="35">
        <f t="shared" si="17"/>
        <v>0</v>
      </c>
      <c r="AN8" s="35">
        <f>SUMIF('5 Year Supply Plan'!A:A,'JZ_BRAND SPLITS'!C8,'5 Year Supply Plan'!Y:Y)</f>
        <v>567</v>
      </c>
      <c r="AO8" s="35">
        <f t="shared" si="18"/>
        <v>0</v>
      </c>
      <c r="AP8" s="35">
        <f>SUMIF('5 Year Supply Plan'!A:A,'JZ_BRAND SPLITS'!C8,'5 Year Supply Plan'!Z:Z)</f>
        <v>508</v>
      </c>
      <c r="AQ8" s="35">
        <f t="shared" si="19"/>
        <v>0</v>
      </c>
      <c r="AR8" s="35">
        <f>SUMIF('5 Year Supply Plan'!A:A,'JZ_BRAND SPLITS'!C8,'5 Year Supply Plan'!AA:AA)</f>
        <v>539</v>
      </c>
      <c r="AS8" s="35">
        <f t="shared" si="20"/>
        <v>0</v>
      </c>
      <c r="AT8" s="35">
        <f>SUMIF('5 Year Supply Plan'!A:A,'JZ_BRAND SPLITS'!C8,'5 Year Supply Plan'!AB:AB)</f>
        <v>605</v>
      </c>
      <c r="AU8" s="35">
        <f t="shared" si="21"/>
        <v>0</v>
      </c>
      <c r="AV8" s="35">
        <f>SUMIF('5 Year Supply Plan'!A:A,'JZ_BRAND SPLITS'!C8,'5 Year Supply Plan'!AC:AC)</f>
        <v>582</v>
      </c>
      <c r="AW8" s="35">
        <f t="shared" si="22"/>
        <v>0</v>
      </c>
      <c r="AX8" s="35">
        <f>SUMIF('5 Year Supply Plan'!A:A,'JZ_BRAND SPLITS'!C8,'5 Year Supply Plan'!AD:AD)</f>
        <v>532</v>
      </c>
      <c r="AY8" s="35">
        <f t="shared" si="23"/>
        <v>0</v>
      </c>
      <c r="AZ8" s="35">
        <f>SUMIF('5 Year Supply Plan'!A:A,'JZ_BRAND SPLITS'!C8,'5 Year Supply Plan'!AE:AE)</f>
        <v>732</v>
      </c>
      <c r="BA8" s="35">
        <f t="shared" si="24"/>
        <v>0</v>
      </c>
      <c r="BB8" s="35">
        <f>SUMIF('5 Year Supply Plan'!A:A,'JZ_BRAND SPLITS'!C8,'5 Year Supply Plan'!AF:AF)</f>
        <v>613</v>
      </c>
      <c r="BC8" s="35">
        <f t="shared" si="25"/>
        <v>0</v>
      </c>
      <c r="BD8" s="35">
        <f>SUMIF('5 Year Supply Plan'!A:A,'JZ_BRAND SPLITS'!C8,'5 Year Supply Plan'!AG:AG)</f>
        <v>548</v>
      </c>
      <c r="BE8" s="35">
        <f t="shared" si="26"/>
        <v>0</v>
      </c>
      <c r="BF8" s="35">
        <f>SUMIF('5 Year Supply Plan'!A:A,'JZ_BRAND SPLITS'!C8,'5 Year Supply Plan'!AH:AH)</f>
        <v>609</v>
      </c>
      <c r="BG8" s="35">
        <f t="shared" si="27"/>
        <v>0</v>
      </c>
      <c r="BH8" s="35">
        <f>SUMIF('5 Year Supply Plan'!A:A,'JZ_BRAND SPLITS'!C8,'5 Year Supply Plan'!AI:AI)</f>
        <v>551</v>
      </c>
      <c r="BI8" s="35">
        <f t="shared" si="28"/>
        <v>0</v>
      </c>
      <c r="BJ8" s="35">
        <f>SUMIF('5 Year Supply Plan'!A:A,'JZ_BRAND SPLITS'!C8,'5 Year Supply Plan'!AJ:AJ)</f>
        <v>607</v>
      </c>
      <c r="BK8" s="35">
        <f t="shared" si="29"/>
        <v>0</v>
      </c>
      <c r="BL8" s="35">
        <f>SUMIF('5 Year Supply Plan'!A:A,'JZ_BRAND SPLITS'!C8,'5 Year Supply Plan'!AK:AK)</f>
        <v>609</v>
      </c>
      <c r="BM8" s="35">
        <f t="shared" si="30"/>
        <v>0</v>
      </c>
      <c r="BN8" s="35">
        <f>SUMIF('5 Year Supply Plan'!A:A,'JZ_BRAND SPLITS'!C8,'5 Year Supply Plan'!AL:AL)</f>
        <v>545</v>
      </c>
      <c r="BO8" s="35">
        <f t="shared" si="31"/>
        <v>0</v>
      </c>
      <c r="BP8" s="35">
        <f>SUMIF('5 Year Supply Plan'!A:A,'JZ_BRAND SPLITS'!C8,'5 Year Supply Plan'!AM:AM)</f>
        <v>578</v>
      </c>
      <c r="BQ8" s="35">
        <f t="shared" si="32"/>
        <v>0</v>
      </c>
      <c r="BR8" s="35">
        <f>SUMIF('5 Year Supply Plan'!A:A,'JZ_BRAND SPLITS'!C8,'5 Year Supply Plan'!AN:AN)</f>
        <v>650</v>
      </c>
      <c r="BS8" s="35">
        <f t="shared" si="33"/>
        <v>0</v>
      </c>
      <c r="BT8" s="35">
        <f>SUMIF('5 Year Supply Plan'!A:A,'JZ_BRAND SPLITS'!C8,'5 Year Supply Plan'!AO:AO)</f>
        <v>623</v>
      </c>
      <c r="BU8" s="35">
        <f t="shared" si="34"/>
        <v>0</v>
      </c>
      <c r="BV8" s="35">
        <f>SUMIF('5 Year Supply Plan'!A:A,'JZ_BRAND SPLITS'!C8,'5 Year Supply Plan'!AP:AP)</f>
        <v>570</v>
      </c>
      <c r="BW8" s="35">
        <f t="shared" si="35"/>
        <v>0</v>
      </c>
      <c r="BX8" s="35">
        <f>SUMIF('5 Year Supply Plan'!A:A,'JZ_BRAND SPLITS'!C8,'5 Year Supply Plan'!AQ:AQ)</f>
        <v>784</v>
      </c>
      <c r="BY8" s="35">
        <f t="shared" si="36"/>
        <v>0</v>
      </c>
      <c r="BZ8" s="35">
        <f>SUMIF('5 Year Supply Plan'!A:A,'JZ_BRAND SPLITS'!C8,'5 Year Supply Plan'!AR:AR)</f>
        <v>656</v>
      </c>
      <c r="CA8" s="35">
        <f t="shared" si="37"/>
        <v>0</v>
      </c>
      <c r="CB8" s="35">
        <f>SUMIF('5 Year Supply Plan'!A:A,'JZ_BRAND SPLITS'!C8,'5 Year Supply Plan'!AS:AS)</f>
        <v>588</v>
      </c>
      <c r="CC8" s="35">
        <f t="shared" si="38"/>
        <v>0</v>
      </c>
      <c r="CD8" s="35">
        <f>SUMIF('5 Year Supply Plan'!A:A,'JZ_BRAND SPLITS'!C8,'5 Year Supply Plan'!AT:AT)</f>
        <v>652</v>
      </c>
      <c r="CE8" s="35">
        <f t="shared" si="39"/>
        <v>0</v>
      </c>
      <c r="CF8" s="35">
        <f>SUMIF('5 Year Supply Plan'!A:A,'JZ_BRAND SPLITS'!C8,'5 Year Supply Plan'!AU:AU)</f>
        <v>590</v>
      </c>
      <c r="CG8" s="35">
        <f t="shared" si="40"/>
        <v>0</v>
      </c>
      <c r="CH8" s="35">
        <f>SUMIF('5 Year Supply Plan'!A:A,'JZ_BRAND SPLITS'!C8,'5 Year Supply Plan'!AV:AV)</f>
        <v>650</v>
      </c>
      <c r="CI8" s="35">
        <f t="shared" si="41"/>
        <v>0</v>
      </c>
      <c r="CJ8" s="35">
        <f>SUMIF('5 Year Supply Plan'!A:A,'JZ_BRAND SPLITS'!C8,'5 Year Supply Plan'!AW:AW)</f>
        <v>651</v>
      </c>
      <c r="CK8" s="35">
        <f t="shared" si="42"/>
        <v>0</v>
      </c>
      <c r="CL8" s="35">
        <f>SUMIF('5 Year Supply Plan'!A:A,'JZ_BRAND SPLITS'!C8,'5 Year Supply Plan'!AX:AX)</f>
        <v>585</v>
      </c>
      <c r="CM8" s="35">
        <f t="shared" si="43"/>
        <v>0</v>
      </c>
      <c r="CN8" s="35">
        <f>SUMIF('5 Year Supply Plan'!A:A,'JZ_BRAND SPLITS'!C8,'5 Year Supply Plan'!AY:AY)</f>
        <v>620</v>
      </c>
      <c r="CO8" s="35">
        <f t="shared" si="44"/>
        <v>0</v>
      </c>
      <c r="CP8" s="35">
        <f>SUMIF('5 Year Supply Plan'!A:A,'JZ_BRAND SPLITS'!C8,'5 Year Supply Plan'!AZ:AZ)</f>
        <v>695</v>
      </c>
      <c r="CQ8" s="35">
        <f t="shared" si="45"/>
        <v>0</v>
      </c>
      <c r="CR8" s="35">
        <f>SUMIF('5 Year Supply Plan'!A:A,'JZ_BRAND SPLITS'!C8,'5 Year Supply Plan'!BA:BA)</f>
        <v>671</v>
      </c>
      <c r="CS8" s="35">
        <f t="shared" si="46"/>
        <v>0</v>
      </c>
      <c r="CT8" s="35">
        <f>SUMIF('5 Year Supply Plan'!A:A,'JZ_BRAND SPLITS'!C8,'5 Year Supply Plan'!BB:BB)</f>
        <v>612</v>
      </c>
      <c r="CU8" s="35">
        <f t="shared" si="47"/>
        <v>0</v>
      </c>
      <c r="CV8" s="35">
        <f>SUMIF('5 Year Supply Plan'!A:A,'JZ_BRAND SPLITS'!C8,'5 Year Supply Plan'!BC:BC)</f>
        <v>843</v>
      </c>
      <c r="CW8" s="35">
        <f t="shared" si="48"/>
        <v>0</v>
      </c>
      <c r="CX8" s="35">
        <f>SUMIF('5 Year Supply Plan'!A:A,'JZ_BRAND SPLITS'!C8,'5 Year Supply Plan'!BD:BD)</f>
        <v>706</v>
      </c>
      <c r="CY8" s="35">
        <f t="shared" si="49"/>
        <v>0</v>
      </c>
      <c r="CZ8" s="35">
        <f>SUMIF('5 Year Supply Plan'!A:A,'JZ_BRAND SPLITS'!C8,'5 Year Supply Plan'!BE:BE)</f>
        <v>631</v>
      </c>
      <c r="DA8" s="35">
        <f t="shared" si="50"/>
        <v>0</v>
      </c>
      <c r="DB8" s="35">
        <f>SUMIF('5 Year Supply Plan'!A:A,'JZ_BRAND SPLITS'!C8,'5 Year Supply Plan'!BF:BF)</f>
        <v>700</v>
      </c>
      <c r="DC8" s="35">
        <f t="shared" si="51"/>
        <v>0</v>
      </c>
      <c r="DD8" s="35">
        <f>SUMIF('5 Year Supply Plan'!A:A,'JZ_BRAND SPLITS'!C8,'5 Year Supply Plan'!BG:BG)</f>
        <v>635</v>
      </c>
      <c r="DE8" s="35">
        <f t="shared" si="52"/>
        <v>0</v>
      </c>
      <c r="DF8" s="35">
        <f>SUMIF('5 Year Supply Plan'!A:A,'JZ_BRAND SPLITS'!C8,'5 Year Supply Plan'!BH:BH)</f>
        <v>698</v>
      </c>
      <c r="DG8" s="35">
        <f t="shared" si="53"/>
        <v>0</v>
      </c>
      <c r="DH8" s="35">
        <f>SUMIF('5 Year Supply Plan'!A:A,'JZ_BRAND SPLITS'!C8,'5 Year Supply Plan'!BI:BI)</f>
        <v>707</v>
      </c>
      <c r="DI8" s="35">
        <f t="shared" si="54"/>
        <v>0</v>
      </c>
      <c r="DJ8" s="35">
        <f>SUMIF('5 Year Supply Plan'!A:A,'JZ_BRAND SPLITS'!C8,'5 Year Supply Plan'!BJ:BJ)</f>
        <v>846</v>
      </c>
      <c r="DK8" s="35">
        <f t="shared" si="55"/>
        <v>0</v>
      </c>
      <c r="DL8" s="35">
        <f>SUMIF('5 Year Supply Plan'!A:A,'JZ_BRAND SPLITS'!C8,'5 Year Supply Plan'!BK:BK)</f>
        <v>1414</v>
      </c>
      <c r="DM8" s="35">
        <f t="shared" si="56"/>
        <v>0</v>
      </c>
      <c r="DN8" s="42">
        <f>SUMIF('5 Year Supply Plan'!A:A,'JZ_BRAND SPLITS'!C8,'5 Year Supply Plan'!BL:BL)</f>
        <v>2048</v>
      </c>
      <c r="DO8" s="35">
        <f t="shared" si="57"/>
        <v>0</v>
      </c>
      <c r="DP8" s="35">
        <f>SUMIF('5 Year Supply Plan'!A:A,'JZ_BRAND SPLITS'!C8,'5 Year Supply Plan'!BM:BM)</f>
        <v>792.125</v>
      </c>
      <c r="DQ8" s="35">
        <f t="shared" si="58"/>
        <v>0</v>
      </c>
      <c r="DR8" s="35">
        <f>SUMIF('5 Year Supply Plan'!A:A,'JZ_BRAND SPLITS'!C8,'5 Year Supply Plan'!BN:BN)</f>
        <v>792.125</v>
      </c>
      <c r="DS8" s="35">
        <f t="shared" si="59"/>
        <v>0</v>
      </c>
      <c r="DT8" s="39">
        <f t="shared" si="60"/>
        <v>0</v>
      </c>
      <c r="DU8" s="36">
        <f>SUMIF('5 Year Supply Plan'!A:A,'JZ_BRAND SPLITS'!C8,'5 Year Supply Plan'!BO:BO)</f>
        <v>47123.25</v>
      </c>
    </row>
    <row r="9" spans="1:125" x14ac:dyDescent="0.25">
      <c r="A9" s="40" t="s">
        <v>249</v>
      </c>
      <c r="B9" s="40" t="s">
        <v>246</v>
      </c>
      <c r="C9" s="40" t="s">
        <v>111</v>
      </c>
      <c r="D9" s="40" t="str">
        <f t="shared" si="0"/>
        <v>A01PREFACE</v>
      </c>
      <c r="E9" s="41">
        <v>1</v>
      </c>
      <c r="F9" s="35">
        <f>SUMIF('5 Year Supply Plan'!A:A,'JZ_BRAND SPLITS'!C9,'5 Year Supply Plan'!H:H)</f>
        <v>5150</v>
      </c>
      <c r="G9" s="35">
        <f t="shared" si="1"/>
        <v>5150</v>
      </c>
      <c r="H9" s="35">
        <f>SUMIF('5 Year Supply Plan'!A:A,'JZ_BRAND SPLITS'!C9,'5 Year Supply Plan'!I:I)</f>
        <v>6000</v>
      </c>
      <c r="I9" s="35">
        <f t="shared" si="2"/>
        <v>6000</v>
      </c>
      <c r="J9" s="35">
        <f>SUMIF('5 Year Supply Plan'!A:A,'JZ_BRAND SPLITS'!C9,'5 Year Supply Plan'!J:J)</f>
        <v>4900</v>
      </c>
      <c r="K9" s="35">
        <f t="shared" si="3"/>
        <v>4900</v>
      </c>
      <c r="L9" s="35">
        <f>SUMIF('5 Year Supply Plan'!A:A,'JZ_BRAND SPLITS'!C9,'5 Year Supply Plan'!K:K)</f>
        <v>4850</v>
      </c>
      <c r="M9" s="35">
        <f t="shared" si="4"/>
        <v>4850</v>
      </c>
      <c r="N9" s="35">
        <f>SUMIF('5 Year Supply Plan'!A:A,'JZ_BRAND SPLITS'!C9,'5 Year Supply Plan'!L:L)</f>
        <v>4995.5</v>
      </c>
      <c r="O9" s="35">
        <f t="shared" si="5"/>
        <v>4995.5</v>
      </c>
      <c r="P9" s="35">
        <f>SUMIF('5 Year Supply Plan'!A:A,'JZ_BRAND SPLITS'!C9,'5 Year Supply Plan'!M:M)</f>
        <v>5145.3649999999998</v>
      </c>
      <c r="Q9" s="35">
        <f t="shared" si="6"/>
        <v>5145.3649999999998</v>
      </c>
      <c r="R9" s="35">
        <f>SUMIF('5 Year Supply Plan'!A:A,'JZ_BRAND SPLITS'!C9,'5 Year Supply Plan'!N:N)</f>
        <v>5299.72595</v>
      </c>
      <c r="S9" s="35">
        <f t="shared" si="7"/>
        <v>5299.72595</v>
      </c>
      <c r="T9" s="35">
        <f>SUMIF('5 Year Supply Plan'!A:A,'JZ_BRAND SPLITS'!C9,'5 Year Supply Plan'!O:O)</f>
        <v>5458.7177284999998</v>
      </c>
      <c r="U9" s="35">
        <f t="shared" si="8"/>
        <v>5458.7177284999998</v>
      </c>
      <c r="V9" s="35">
        <f>SUMIF('5 Year Supply Plan'!A:A,'JZ_BRAND SPLITS'!C9,'5 Year Supply Plan'!P:P)</f>
        <v>5622.4792603549995</v>
      </c>
      <c r="W9" s="35">
        <f t="shared" si="9"/>
        <v>5622.4792603549995</v>
      </c>
      <c r="X9" s="35">
        <f>SUMIF('5 Year Supply Plan'!A:A,'JZ_BRAND SPLITS'!C9,'5 Year Supply Plan'!Q:Q)</f>
        <v>5791.1536381656497</v>
      </c>
      <c r="Y9" s="35">
        <f t="shared" si="10"/>
        <v>5791.1536381656497</v>
      </c>
      <c r="Z9" s="35">
        <f>SUMIF('5 Year Supply Plan'!A:A,'JZ_BRAND SPLITS'!C9,'5 Year Supply Plan'!R:R)</f>
        <v>5964.8882473106196</v>
      </c>
      <c r="AA9" s="35">
        <f t="shared" si="11"/>
        <v>5964.8882473106196</v>
      </c>
      <c r="AB9" s="35">
        <f>SUMIF('5 Year Supply Plan'!A:A,'JZ_BRAND SPLITS'!C9,'5 Year Supply Plan'!S:S)</f>
        <v>6143.8348947299382</v>
      </c>
      <c r="AC9" s="35">
        <f t="shared" si="12"/>
        <v>6143.8348947299382</v>
      </c>
      <c r="AD9" s="35">
        <f>SUMIF('5 Year Supply Plan'!A:A,'JZ_BRAND SPLITS'!C9,'5 Year Supply Plan'!T:T)</f>
        <v>5304.5</v>
      </c>
      <c r="AE9" s="35">
        <f t="shared" si="13"/>
        <v>5304.5</v>
      </c>
      <c r="AF9" s="35">
        <f>SUMIF('5 Year Supply Plan'!A:A,'JZ_BRAND SPLITS'!C9,'5 Year Supply Plan'!U:U)</f>
        <v>6180</v>
      </c>
      <c r="AG9" s="35">
        <f t="shared" si="14"/>
        <v>6180</v>
      </c>
      <c r="AH9" s="35">
        <f>SUMIF('5 Year Supply Plan'!A:A,'JZ_BRAND SPLITS'!C9,'5 Year Supply Plan'!V:V)</f>
        <v>5047</v>
      </c>
      <c r="AI9" s="35">
        <f t="shared" si="15"/>
        <v>5047</v>
      </c>
      <c r="AJ9" s="35">
        <f>SUMIF('5 Year Supply Plan'!A:A,'JZ_BRAND SPLITS'!C9,'5 Year Supply Plan'!W:W)</f>
        <v>4995.5</v>
      </c>
      <c r="AK9" s="35">
        <f t="shared" si="16"/>
        <v>4995.5</v>
      </c>
      <c r="AL9" s="35">
        <f>SUMIF('5 Year Supply Plan'!A:A,'JZ_BRAND SPLITS'!C9,'5 Year Supply Plan'!X:X)</f>
        <v>5145.3649999999998</v>
      </c>
      <c r="AM9" s="35">
        <f t="shared" si="17"/>
        <v>5145.3649999999998</v>
      </c>
      <c r="AN9" s="35">
        <f>SUMIF('5 Year Supply Plan'!A:A,'JZ_BRAND SPLITS'!C9,'5 Year Supply Plan'!Y:Y)</f>
        <v>5299.72595</v>
      </c>
      <c r="AO9" s="35">
        <f t="shared" si="18"/>
        <v>5299.72595</v>
      </c>
      <c r="AP9" s="35">
        <f>SUMIF('5 Year Supply Plan'!A:A,'JZ_BRAND SPLITS'!C9,'5 Year Supply Plan'!Z:Z)</f>
        <v>5458.7177284999998</v>
      </c>
      <c r="AQ9" s="35">
        <f t="shared" si="19"/>
        <v>5458.7177284999998</v>
      </c>
      <c r="AR9" s="35">
        <f>SUMIF('5 Year Supply Plan'!A:A,'JZ_BRAND SPLITS'!C9,'5 Year Supply Plan'!AA:AA)</f>
        <v>5622.4792603549995</v>
      </c>
      <c r="AS9" s="35">
        <f t="shared" si="20"/>
        <v>5622.4792603549995</v>
      </c>
      <c r="AT9" s="35">
        <f>SUMIF('5 Year Supply Plan'!A:A,'JZ_BRAND SPLITS'!C9,'5 Year Supply Plan'!AB:AB)</f>
        <v>5791.1536381656497</v>
      </c>
      <c r="AU9" s="35">
        <f t="shared" si="21"/>
        <v>5791.1536381656497</v>
      </c>
      <c r="AV9" s="35">
        <f>SUMIF('5 Year Supply Plan'!A:A,'JZ_BRAND SPLITS'!C9,'5 Year Supply Plan'!AC:AC)</f>
        <v>5964.8882473106196</v>
      </c>
      <c r="AW9" s="35">
        <f t="shared" si="22"/>
        <v>5964.8882473106196</v>
      </c>
      <c r="AX9" s="35">
        <f>SUMIF('5 Year Supply Plan'!A:A,'JZ_BRAND SPLITS'!C9,'5 Year Supply Plan'!AD:AD)</f>
        <v>6143.8348947299382</v>
      </c>
      <c r="AY9" s="35">
        <f t="shared" si="23"/>
        <v>6143.8348947299382</v>
      </c>
      <c r="AZ9" s="35">
        <f>SUMIF('5 Year Supply Plan'!A:A,'JZ_BRAND SPLITS'!C9,'5 Year Supply Plan'!AE:AE)</f>
        <v>6328.1499415718363</v>
      </c>
      <c r="BA9" s="35">
        <f t="shared" si="24"/>
        <v>6328.1499415718363</v>
      </c>
      <c r="BB9" s="35">
        <f>SUMIF('5 Year Supply Plan'!A:A,'JZ_BRAND SPLITS'!C9,'5 Year Supply Plan'!AF:AF)</f>
        <v>5463.6350000000002</v>
      </c>
      <c r="BC9" s="35">
        <f t="shared" si="25"/>
        <v>5463.6350000000002</v>
      </c>
      <c r="BD9" s="35">
        <f>SUMIF('5 Year Supply Plan'!A:A,'JZ_BRAND SPLITS'!C9,'5 Year Supply Plan'!AG:AG)</f>
        <v>6365.4000000000005</v>
      </c>
      <c r="BE9" s="35">
        <f t="shared" si="26"/>
        <v>6365.4000000000005</v>
      </c>
      <c r="BF9" s="35">
        <f>SUMIF('5 Year Supply Plan'!A:A,'JZ_BRAND SPLITS'!C9,'5 Year Supply Plan'!AH:AH)</f>
        <v>5198.41</v>
      </c>
      <c r="BG9" s="35">
        <f t="shared" si="27"/>
        <v>5198.41</v>
      </c>
      <c r="BH9" s="35">
        <f>SUMIF('5 Year Supply Plan'!A:A,'JZ_BRAND SPLITS'!C9,'5 Year Supply Plan'!AI:AI)</f>
        <v>5145.3649999999998</v>
      </c>
      <c r="BI9" s="35">
        <f t="shared" si="28"/>
        <v>5145.3649999999998</v>
      </c>
      <c r="BJ9" s="35">
        <f>SUMIF('5 Year Supply Plan'!A:A,'JZ_BRAND SPLITS'!C9,'5 Year Supply Plan'!AJ:AJ)</f>
        <v>5299.72595</v>
      </c>
      <c r="BK9" s="35">
        <f t="shared" si="29"/>
        <v>5299.72595</v>
      </c>
      <c r="BL9" s="35">
        <f>SUMIF('5 Year Supply Plan'!A:A,'JZ_BRAND SPLITS'!C9,'5 Year Supply Plan'!AK:AK)</f>
        <v>5458.7177284999998</v>
      </c>
      <c r="BM9" s="35">
        <f t="shared" si="30"/>
        <v>5458.7177284999998</v>
      </c>
      <c r="BN9" s="35">
        <f>SUMIF('5 Year Supply Plan'!A:A,'JZ_BRAND SPLITS'!C9,'5 Year Supply Plan'!AL:AL)</f>
        <v>5622.4792603549995</v>
      </c>
      <c r="BO9" s="35">
        <f t="shared" si="31"/>
        <v>5622.4792603549995</v>
      </c>
      <c r="BP9" s="35">
        <f>SUMIF('5 Year Supply Plan'!A:A,'JZ_BRAND SPLITS'!C9,'5 Year Supply Plan'!AM:AM)</f>
        <v>5791.1536381656497</v>
      </c>
      <c r="BQ9" s="35">
        <f t="shared" si="32"/>
        <v>5791.1536381656497</v>
      </c>
      <c r="BR9" s="35">
        <f>SUMIF('5 Year Supply Plan'!A:A,'JZ_BRAND SPLITS'!C9,'5 Year Supply Plan'!AN:AN)</f>
        <v>5964.8882473106196</v>
      </c>
      <c r="BS9" s="35">
        <f t="shared" si="33"/>
        <v>5964.8882473106196</v>
      </c>
      <c r="BT9" s="35">
        <f>SUMIF('5 Year Supply Plan'!A:A,'JZ_BRAND SPLITS'!C9,'5 Year Supply Plan'!AO:AO)</f>
        <v>6143.8348947299382</v>
      </c>
      <c r="BU9" s="35">
        <f t="shared" si="34"/>
        <v>6143.8348947299382</v>
      </c>
      <c r="BV9" s="35">
        <f>SUMIF('5 Year Supply Plan'!A:A,'JZ_BRAND SPLITS'!C9,'5 Year Supply Plan'!AP:AP)</f>
        <v>6328.1499415718363</v>
      </c>
      <c r="BW9" s="35">
        <f t="shared" si="35"/>
        <v>6328.1499415718363</v>
      </c>
      <c r="BX9" s="35">
        <f>SUMIF('5 Year Supply Plan'!A:A,'JZ_BRAND SPLITS'!C9,'5 Year Supply Plan'!AQ:AQ)</f>
        <v>6517.9944398189919</v>
      </c>
      <c r="BY9" s="35">
        <f t="shared" si="36"/>
        <v>6517.9944398189919</v>
      </c>
      <c r="BZ9" s="35">
        <f>SUMIF('5 Year Supply Plan'!A:A,'JZ_BRAND SPLITS'!C9,'5 Year Supply Plan'!AR:AR)</f>
        <v>5627.5440500000004</v>
      </c>
      <c r="CA9" s="35">
        <f t="shared" si="37"/>
        <v>5627.5440500000004</v>
      </c>
      <c r="CB9" s="35">
        <f>SUMIF('5 Year Supply Plan'!A:A,'JZ_BRAND SPLITS'!C9,'5 Year Supply Plan'!AS:AS)</f>
        <v>6556.362000000001</v>
      </c>
      <c r="CC9" s="35">
        <f t="shared" si="38"/>
        <v>6556.362000000001</v>
      </c>
      <c r="CD9" s="35">
        <f>SUMIF('5 Year Supply Plan'!A:A,'JZ_BRAND SPLITS'!C9,'5 Year Supply Plan'!AT:AT)</f>
        <v>5354.3622999999998</v>
      </c>
      <c r="CE9" s="35">
        <f t="shared" si="39"/>
        <v>5354.3622999999998</v>
      </c>
      <c r="CF9" s="35">
        <f>SUMIF('5 Year Supply Plan'!A:A,'JZ_BRAND SPLITS'!C9,'5 Year Supply Plan'!AU:AU)</f>
        <v>5299.72595</v>
      </c>
      <c r="CG9" s="35">
        <f t="shared" si="40"/>
        <v>5299.72595</v>
      </c>
      <c r="CH9" s="35">
        <f>SUMIF('5 Year Supply Plan'!A:A,'JZ_BRAND SPLITS'!C9,'5 Year Supply Plan'!AV:AV)</f>
        <v>5458.7177284999998</v>
      </c>
      <c r="CI9" s="35">
        <f t="shared" si="41"/>
        <v>5458.7177284999998</v>
      </c>
      <c r="CJ9" s="35">
        <f>SUMIF('5 Year Supply Plan'!A:A,'JZ_BRAND SPLITS'!C9,'5 Year Supply Plan'!AW:AW)</f>
        <v>5622.4792603549995</v>
      </c>
      <c r="CK9" s="35">
        <f t="shared" si="42"/>
        <v>5622.4792603549995</v>
      </c>
      <c r="CL9" s="35">
        <f>SUMIF('5 Year Supply Plan'!A:A,'JZ_BRAND SPLITS'!C9,'5 Year Supply Plan'!AX:AX)</f>
        <v>5791.1536381656497</v>
      </c>
      <c r="CM9" s="35">
        <f t="shared" si="43"/>
        <v>5791.1536381656497</v>
      </c>
      <c r="CN9" s="35">
        <f>SUMIF('5 Year Supply Plan'!A:A,'JZ_BRAND SPLITS'!C9,'5 Year Supply Plan'!AY:AY)</f>
        <v>5964.8882473106196</v>
      </c>
      <c r="CO9" s="35">
        <f t="shared" si="44"/>
        <v>5964.8882473106196</v>
      </c>
      <c r="CP9" s="35">
        <f>SUMIF('5 Year Supply Plan'!A:A,'JZ_BRAND SPLITS'!C9,'5 Year Supply Plan'!AZ:AZ)</f>
        <v>6143.8348947299382</v>
      </c>
      <c r="CQ9" s="35">
        <f t="shared" si="45"/>
        <v>6143.8348947299382</v>
      </c>
      <c r="CR9" s="35">
        <f>SUMIF('5 Year Supply Plan'!A:A,'JZ_BRAND SPLITS'!C9,'5 Year Supply Plan'!BA:BA)</f>
        <v>6328.1499415718363</v>
      </c>
      <c r="CS9" s="35">
        <f t="shared" si="46"/>
        <v>6328.1499415718363</v>
      </c>
      <c r="CT9" s="35">
        <f>SUMIF('5 Year Supply Plan'!A:A,'JZ_BRAND SPLITS'!C9,'5 Year Supply Plan'!BB:BB)</f>
        <v>6517.9944398189919</v>
      </c>
      <c r="CU9" s="35">
        <f t="shared" si="47"/>
        <v>6517.9944398189919</v>
      </c>
      <c r="CV9" s="35">
        <f>SUMIF('5 Year Supply Plan'!A:A,'JZ_BRAND SPLITS'!C9,'5 Year Supply Plan'!BC:BC)</f>
        <v>6713.5342730135617</v>
      </c>
      <c r="CW9" s="35">
        <f t="shared" si="48"/>
        <v>6713.5342730135617</v>
      </c>
      <c r="CX9" s="35">
        <f>SUMIF('5 Year Supply Plan'!A:A,'JZ_BRAND SPLITS'!C9,'5 Year Supply Plan'!BD:BD)</f>
        <v>5796.3703715000001</v>
      </c>
      <c r="CY9" s="35">
        <f t="shared" si="49"/>
        <v>5796.3703715000001</v>
      </c>
      <c r="CZ9" s="35">
        <f>SUMIF('5 Year Supply Plan'!A:A,'JZ_BRAND SPLITS'!C9,'5 Year Supply Plan'!BE:BE)</f>
        <v>6753.0528600000016</v>
      </c>
      <c r="DA9" s="35">
        <f t="shared" si="50"/>
        <v>6753.0528600000016</v>
      </c>
      <c r="DB9" s="35">
        <f>SUMIF('5 Year Supply Plan'!A:A,'JZ_BRAND SPLITS'!C9,'5 Year Supply Plan'!BF:BF)</f>
        <v>5514.9931690000003</v>
      </c>
      <c r="DC9" s="35">
        <f t="shared" si="51"/>
        <v>5514.9931690000003</v>
      </c>
      <c r="DD9" s="35">
        <f>SUMIF('5 Year Supply Plan'!A:A,'JZ_BRAND SPLITS'!C9,'5 Year Supply Plan'!BG:BG)</f>
        <v>5458.7177284999998</v>
      </c>
      <c r="DE9" s="35">
        <f t="shared" si="52"/>
        <v>5458.7177284999998</v>
      </c>
      <c r="DF9" s="35">
        <f>SUMIF('5 Year Supply Plan'!A:A,'JZ_BRAND SPLITS'!C9,'5 Year Supply Plan'!BH:BH)</f>
        <v>5622.4792603549995</v>
      </c>
      <c r="DG9" s="35">
        <f t="shared" si="53"/>
        <v>5622.4792603549995</v>
      </c>
      <c r="DH9" s="35">
        <f>SUMIF('5 Year Supply Plan'!A:A,'JZ_BRAND SPLITS'!C9,'5 Year Supply Plan'!BI:BI)</f>
        <v>5791.1536381656497</v>
      </c>
      <c r="DI9" s="35">
        <f t="shared" si="54"/>
        <v>5791.1536381656497</v>
      </c>
      <c r="DJ9" s="35">
        <f>SUMIF('5 Year Supply Plan'!A:A,'JZ_BRAND SPLITS'!C9,'5 Year Supply Plan'!BJ:BJ)</f>
        <v>5964.8882473106196</v>
      </c>
      <c r="DK9" s="35">
        <f t="shared" si="55"/>
        <v>5964.8882473106196</v>
      </c>
      <c r="DL9" s="35">
        <f>SUMIF('5 Year Supply Plan'!A:A,'JZ_BRAND SPLITS'!C9,'5 Year Supply Plan'!BK:BK)</f>
        <v>6143.8348947299382</v>
      </c>
      <c r="DM9" s="35">
        <f t="shared" si="56"/>
        <v>6143.8348947299382</v>
      </c>
      <c r="DN9" s="42">
        <f>SUMIF('5 Year Supply Plan'!A:A,'JZ_BRAND SPLITS'!C9,'5 Year Supply Plan'!BL:BL)</f>
        <v>6328.1499415718363</v>
      </c>
      <c r="DO9" s="35">
        <f t="shared" si="57"/>
        <v>6328.1499415718363</v>
      </c>
      <c r="DP9" s="35">
        <f>SUMIF('5 Year Supply Plan'!A:A,'JZ_BRAND SPLITS'!C9,'5 Year Supply Plan'!BM:BM)</f>
        <v>6517.9944398189919</v>
      </c>
      <c r="DQ9" s="35">
        <f t="shared" si="58"/>
        <v>6517.9944398189919</v>
      </c>
      <c r="DR9" s="35">
        <f>SUMIF('5 Year Supply Plan'!A:A,'JZ_BRAND SPLITS'!C9,'5 Year Supply Plan'!BN:BN)</f>
        <v>6713.5342730135617</v>
      </c>
      <c r="DS9" s="35">
        <f t="shared" si="59"/>
        <v>6713.5342730135617</v>
      </c>
      <c r="DT9" s="39">
        <f t="shared" si="60"/>
        <v>339886.64902757748</v>
      </c>
      <c r="DU9" s="36">
        <f>SUMIF('5 Year Supply Plan'!A:A,'JZ_BRAND SPLITS'!C9,'5 Year Supply Plan'!BO:BO)</f>
        <v>339886.64902757754</v>
      </c>
    </row>
    <row r="10" spans="1:125" x14ac:dyDescent="0.25">
      <c r="A10" s="40" t="s">
        <v>249</v>
      </c>
      <c r="B10" s="40" t="s">
        <v>246</v>
      </c>
      <c r="C10" s="40" t="s">
        <v>109</v>
      </c>
      <c r="D10" s="40" t="str">
        <f t="shared" si="0"/>
        <v>A01VISTA BRITE TIP</v>
      </c>
      <c r="E10" s="41">
        <v>3.5064885213384315E-3</v>
      </c>
      <c r="F10" s="35">
        <f>SUMIF('5 Year Supply Plan'!A:A,'JZ_BRAND SPLITS'!C10,'5 Year Supply Plan'!H:H)</f>
        <v>280807.69677699998</v>
      </c>
      <c r="G10" s="35">
        <f t="shared" si="1"/>
        <v>984.64896545203328</v>
      </c>
      <c r="H10" s="35">
        <f>SUMIF('5 Year Supply Plan'!A:A,'JZ_BRAND SPLITS'!C10,'5 Year Supply Plan'!I:I)</f>
        <v>333372.86914099997</v>
      </c>
      <c r="I10" s="35">
        <f t="shared" si="2"/>
        <v>1168.9681389685754</v>
      </c>
      <c r="J10" s="35">
        <f>SUMIF('5 Year Supply Plan'!A:A,'JZ_BRAND SPLITS'!C10,'5 Year Supply Plan'!J:J)</f>
        <v>277810.72168000002</v>
      </c>
      <c r="K10" s="35">
        <f t="shared" si="3"/>
        <v>974.14010667566583</v>
      </c>
      <c r="L10" s="35">
        <f>SUMIF('5 Year Supply Plan'!A:A,'JZ_BRAND SPLITS'!C10,'5 Year Supply Plan'!K:K)</f>
        <v>221601</v>
      </c>
      <c r="M10" s="35">
        <f t="shared" si="4"/>
        <v>777.04136281711772</v>
      </c>
      <c r="N10" s="35">
        <f>SUMIF('5 Year Supply Plan'!A:A,'JZ_BRAND SPLITS'!C10,'5 Year Supply Plan'!L:L)</f>
        <v>126362</v>
      </c>
      <c r="O10" s="35">
        <f t="shared" si="5"/>
        <v>443.08690253336687</v>
      </c>
      <c r="P10" s="35">
        <f>SUMIF('5 Year Supply Plan'!A:A,'JZ_BRAND SPLITS'!C10,'5 Year Supply Plan'!M:M)</f>
        <v>213221</v>
      </c>
      <c r="Q10" s="35">
        <f t="shared" si="6"/>
        <v>747.65698900830171</v>
      </c>
      <c r="R10" s="35">
        <f>SUMIF('5 Year Supply Plan'!A:A,'JZ_BRAND SPLITS'!C10,'5 Year Supply Plan'!N:N)</f>
        <v>224906</v>
      </c>
      <c r="S10" s="35">
        <f t="shared" si="7"/>
        <v>788.63030738014129</v>
      </c>
      <c r="T10" s="35">
        <f>SUMIF('5 Year Supply Plan'!A:A,'JZ_BRAND SPLITS'!C10,'5 Year Supply Plan'!O:O)</f>
        <v>239513</v>
      </c>
      <c r="U10" s="35">
        <f t="shared" si="8"/>
        <v>839.84958521133171</v>
      </c>
      <c r="V10" s="35">
        <f>SUMIF('5 Year Supply Plan'!A:A,'JZ_BRAND SPLITS'!C10,'5 Year Supply Plan'!P:P)</f>
        <v>230425</v>
      </c>
      <c r="W10" s="35">
        <f t="shared" si="9"/>
        <v>807.98261752940812</v>
      </c>
      <c r="X10" s="35">
        <f>SUMIF('5 Year Supply Plan'!A:A,'JZ_BRAND SPLITS'!C10,'5 Year Supply Plan'!Q:Q)</f>
        <v>224980</v>
      </c>
      <c r="Y10" s="35">
        <f t="shared" si="10"/>
        <v>788.88978753072035</v>
      </c>
      <c r="Z10" s="35">
        <f>SUMIF('5 Year Supply Plan'!A:A,'JZ_BRAND SPLITS'!C10,'5 Year Supply Plan'!R:R)</f>
        <v>218045</v>
      </c>
      <c r="AA10" s="35">
        <f t="shared" si="11"/>
        <v>764.57228963523835</v>
      </c>
      <c r="AB10" s="35">
        <f>SUMIF('5 Year Supply Plan'!A:A,'JZ_BRAND SPLITS'!C10,'5 Year Supply Plan'!S:S)</f>
        <v>243932</v>
      </c>
      <c r="AC10" s="35">
        <f t="shared" si="12"/>
        <v>855.34475798712629</v>
      </c>
      <c r="AD10" s="35">
        <f>SUMIF('5 Year Supply Plan'!A:A,'JZ_BRAND SPLITS'!C10,'5 Year Supply Plan'!T:T)</f>
        <v>238049</v>
      </c>
      <c r="AE10" s="35">
        <f t="shared" si="13"/>
        <v>834.71608601609228</v>
      </c>
      <c r="AF10" s="35">
        <f>SUMIF('5 Year Supply Plan'!A:A,'JZ_BRAND SPLITS'!C10,'5 Year Supply Plan'!U:U)</f>
        <v>218567</v>
      </c>
      <c r="AG10" s="35">
        <f t="shared" si="14"/>
        <v>766.40267664337694</v>
      </c>
      <c r="AH10" s="35">
        <f>SUMIF('5 Year Supply Plan'!A:A,'JZ_BRAND SPLITS'!C10,'5 Year Supply Plan'!V:V)</f>
        <v>239317</v>
      </c>
      <c r="AI10" s="35">
        <f t="shared" si="15"/>
        <v>839.16231346114944</v>
      </c>
      <c r="AJ10" s="35">
        <f>SUMIF('5 Year Supply Plan'!A:A,'JZ_BRAND SPLITS'!C10,'5 Year Supply Plan'!W:W)</f>
        <v>229421</v>
      </c>
      <c r="AK10" s="35">
        <f t="shared" si="16"/>
        <v>804.46210305398426</v>
      </c>
      <c r="AL10" s="35">
        <f>SUMIF('5 Year Supply Plan'!A:A,'JZ_BRAND SPLITS'!C10,'5 Year Supply Plan'!X:X)</f>
        <v>259307</v>
      </c>
      <c r="AM10" s="35">
        <f t="shared" si="17"/>
        <v>909.25701900270462</v>
      </c>
      <c r="AN10" s="35">
        <f>SUMIF('5 Year Supply Plan'!A:A,'JZ_BRAND SPLITS'!C10,'5 Year Supply Plan'!Y:Y)</f>
        <v>258943</v>
      </c>
      <c r="AO10" s="35">
        <f t="shared" si="18"/>
        <v>907.98065718093744</v>
      </c>
      <c r="AP10" s="35">
        <f>SUMIF('5 Year Supply Plan'!A:A,'JZ_BRAND SPLITS'!C10,'5 Year Supply Plan'!Z:Z)</f>
        <v>237283</v>
      </c>
      <c r="AQ10" s="35">
        <f t="shared" si="19"/>
        <v>832.03011580874704</v>
      </c>
      <c r="AR10" s="35">
        <f>SUMIF('5 Year Supply Plan'!A:A,'JZ_BRAND SPLITS'!C10,'5 Year Supply Plan'!AA:AA)</f>
        <v>261853</v>
      </c>
      <c r="AS10" s="35">
        <f t="shared" si="20"/>
        <v>918.18453877803233</v>
      </c>
      <c r="AT10" s="35">
        <f>SUMIF('5 Year Supply Plan'!A:A,'JZ_BRAND SPLITS'!C10,'5 Year Supply Plan'!AB:AB)</f>
        <v>268354</v>
      </c>
      <c r="AU10" s="35">
        <f t="shared" si="21"/>
        <v>940.98022065525345</v>
      </c>
      <c r="AV10" s="35">
        <f>SUMIF('5 Year Supply Plan'!A:A,'JZ_BRAND SPLITS'!C10,'5 Year Supply Plan'!AC:AC)</f>
        <v>237492</v>
      </c>
      <c r="AW10" s="35">
        <f t="shared" si="22"/>
        <v>832.76297190970672</v>
      </c>
      <c r="AX10" s="35">
        <f>SUMIF('5 Year Supply Plan'!A:A,'JZ_BRAND SPLITS'!C10,'5 Year Supply Plan'!AD:AD)</f>
        <v>229614</v>
      </c>
      <c r="AY10" s="35">
        <f t="shared" si="23"/>
        <v>805.13885533860264</v>
      </c>
      <c r="AZ10" s="35">
        <f>SUMIF('5 Year Supply Plan'!A:A,'JZ_BRAND SPLITS'!C10,'5 Year Supply Plan'!AE:AE)</f>
        <v>259190</v>
      </c>
      <c r="BA10" s="35">
        <f t="shared" si="24"/>
        <v>908.84675984570811</v>
      </c>
      <c r="BB10" s="35">
        <f>SUMIF('5 Year Supply Plan'!A:A,'JZ_BRAND SPLITS'!C10,'5 Year Supply Plan'!AF:AF)</f>
        <v>253637</v>
      </c>
      <c r="BC10" s="35">
        <f t="shared" si="25"/>
        <v>889.37522908671576</v>
      </c>
      <c r="BD10" s="35">
        <f>SUMIF('5 Year Supply Plan'!A:A,'JZ_BRAND SPLITS'!C10,'5 Year Supply Plan'!AG:AG)</f>
        <v>232371</v>
      </c>
      <c r="BE10" s="35">
        <f t="shared" si="26"/>
        <v>814.80624419193271</v>
      </c>
      <c r="BF10" s="35">
        <f>SUMIF('5 Year Supply Plan'!A:A,'JZ_BRAND SPLITS'!C10,'5 Year Supply Plan'!AH:AH)</f>
        <v>253616</v>
      </c>
      <c r="BG10" s="35">
        <f t="shared" si="27"/>
        <v>889.30159282776765</v>
      </c>
      <c r="BH10" s="35">
        <f>SUMIF('5 Year Supply Plan'!A:A,'JZ_BRAND SPLITS'!C10,'5 Year Supply Plan'!AI:AI)</f>
        <v>243593</v>
      </c>
      <c r="BI10" s="35">
        <f t="shared" si="28"/>
        <v>854.15605837839257</v>
      </c>
      <c r="BJ10" s="35">
        <f>SUMIF('5 Year Supply Plan'!A:A,'JZ_BRAND SPLITS'!C10,'5 Year Supply Plan'!AJ:AJ)</f>
        <v>274674</v>
      </c>
      <c r="BK10" s="35">
        <f t="shared" si="29"/>
        <v>963.14122811011237</v>
      </c>
      <c r="BL10" s="35">
        <f>SUMIF('5 Year Supply Plan'!A:A,'JZ_BRAND SPLITS'!C10,'5 Year Supply Plan'!AK:AK)</f>
        <v>274416</v>
      </c>
      <c r="BM10" s="35">
        <f t="shared" si="30"/>
        <v>962.23655407160697</v>
      </c>
      <c r="BN10" s="35">
        <f>SUMIF('5 Year Supply Plan'!A:A,'JZ_BRAND SPLITS'!C10,'5 Year Supply Plan'!AL:AL)</f>
        <v>252580</v>
      </c>
      <c r="BO10" s="35">
        <f t="shared" si="31"/>
        <v>885.66887071966107</v>
      </c>
      <c r="BP10" s="35">
        <f>SUMIF('5 Year Supply Plan'!A:A,'JZ_BRAND SPLITS'!C10,'5 Year Supply Plan'!AM:AM)</f>
        <v>278662</v>
      </c>
      <c r="BQ10" s="35">
        <f t="shared" si="32"/>
        <v>977.12510433320995</v>
      </c>
      <c r="BR10" s="35">
        <f>SUMIF('5 Year Supply Plan'!A:A,'JZ_BRAND SPLITS'!C10,'5 Year Supply Plan'!AN:AN)</f>
        <v>285661</v>
      </c>
      <c r="BS10" s="35">
        <f t="shared" si="33"/>
        <v>1001.6670174940576</v>
      </c>
      <c r="BT10" s="35">
        <f>SUMIF('5 Year Supply Plan'!A:A,'JZ_BRAND SPLITS'!C10,'5 Year Supply Plan'!AO:AO)</f>
        <v>254215</v>
      </c>
      <c r="BU10" s="35">
        <f t="shared" si="34"/>
        <v>891.40197945204932</v>
      </c>
      <c r="BV10" s="35">
        <f>SUMIF('5 Year Supply Plan'!A:A,'JZ_BRAND SPLITS'!C10,'5 Year Supply Plan'!AP:AP)</f>
        <v>245238</v>
      </c>
      <c r="BW10" s="35">
        <f t="shared" si="35"/>
        <v>859.92423199599432</v>
      </c>
      <c r="BX10" s="35">
        <f>SUMIF('5 Year Supply Plan'!A:A,'JZ_BRAND SPLITS'!C10,'5 Year Supply Plan'!AQ:AQ)</f>
        <v>276727</v>
      </c>
      <c r="BY10" s="35">
        <f t="shared" si="36"/>
        <v>970.34004904442008</v>
      </c>
      <c r="BZ10" s="35">
        <f>SUMIF('5 Year Supply Plan'!A:A,'JZ_BRAND SPLITS'!C10,'5 Year Supply Plan'!AR:AR)</f>
        <v>271462</v>
      </c>
      <c r="CA10" s="35">
        <f t="shared" si="37"/>
        <v>951.87838697957329</v>
      </c>
      <c r="CB10" s="35">
        <f>SUMIF('5 Year Supply Plan'!A:A,'JZ_BRAND SPLITS'!C10,'5 Year Supply Plan'!AS:AS)</f>
        <v>248220</v>
      </c>
      <c r="CC10" s="35">
        <f t="shared" si="38"/>
        <v>870.38058076662549</v>
      </c>
      <c r="CD10" s="35">
        <f>SUMIF('5 Year Supply Plan'!A:A,'JZ_BRAND SPLITS'!C10,'5 Year Supply Plan'!AT:AT)</f>
        <v>270139</v>
      </c>
      <c r="CE10" s="35">
        <f t="shared" si="39"/>
        <v>947.2393026658425</v>
      </c>
      <c r="CF10" s="35">
        <f>SUMIF('5 Year Supply Plan'!A:A,'JZ_BRAND SPLITS'!C10,'5 Year Supply Plan'!AU:AU)</f>
        <v>260060</v>
      </c>
      <c r="CG10" s="35">
        <f t="shared" si="40"/>
        <v>911.89740485927246</v>
      </c>
      <c r="CH10" s="35">
        <f>SUMIF('5 Year Supply Plan'!A:A,'JZ_BRAND SPLITS'!C10,'5 Year Supply Plan'!AV:AV)</f>
        <v>292625</v>
      </c>
      <c r="CI10" s="35">
        <f t="shared" si="41"/>
        <v>1026.0862035566586</v>
      </c>
      <c r="CJ10" s="35">
        <f>SUMIF('5 Year Supply Plan'!A:A,'JZ_BRAND SPLITS'!C10,'5 Year Supply Plan'!AW:AW)</f>
        <v>292583</v>
      </c>
      <c r="CK10" s="35">
        <f t="shared" si="42"/>
        <v>1025.9389310387623</v>
      </c>
      <c r="CL10" s="35">
        <f>SUMIF('5 Year Supply Plan'!A:A,'JZ_BRAND SPLITS'!C10,'5 Year Supply Plan'!AX:AX)</f>
        <v>270884</v>
      </c>
      <c r="CM10" s="35">
        <f t="shared" si="43"/>
        <v>949.85163661423962</v>
      </c>
      <c r="CN10" s="35">
        <f>SUMIF('5 Year Supply Plan'!A:A,'JZ_BRAND SPLITS'!C10,'5 Year Supply Plan'!AY:AY)</f>
        <v>296770</v>
      </c>
      <c r="CO10" s="35">
        <f t="shared" si="44"/>
        <v>1040.6205984776063</v>
      </c>
      <c r="CP10" s="35">
        <f>SUMIF('5 Year Supply Plan'!A:A,'JZ_BRAND SPLITS'!C10,'5 Year Supply Plan'!AZ:AZ)</f>
        <v>304182</v>
      </c>
      <c r="CQ10" s="35">
        <f t="shared" si="45"/>
        <v>1066.6106913977667</v>
      </c>
      <c r="CR10" s="35">
        <f>SUMIF('5 Year Supply Plan'!A:A,'JZ_BRAND SPLITS'!C10,'5 Year Supply Plan'!BA:BA)</f>
        <v>270299</v>
      </c>
      <c r="CS10" s="35">
        <f t="shared" si="46"/>
        <v>947.8003408292567</v>
      </c>
      <c r="CT10" s="35">
        <f>SUMIF('5 Year Supply Plan'!A:A,'JZ_BRAND SPLITS'!C10,'5 Year Supply Plan'!BB:BB)</f>
        <v>260430</v>
      </c>
      <c r="CU10" s="35">
        <f t="shared" si="47"/>
        <v>913.19480561216767</v>
      </c>
      <c r="CV10" s="35">
        <f>SUMIF('5 Year Supply Plan'!A:A,'JZ_BRAND SPLITS'!C10,'5 Year Supply Plan'!BC:BC)</f>
        <v>293803</v>
      </c>
      <c r="CW10" s="35">
        <f t="shared" si="48"/>
        <v>1030.2168470347951</v>
      </c>
      <c r="CX10" s="35">
        <f>SUMIF('5 Year Supply Plan'!A:A,'JZ_BRAND SPLITS'!C10,'5 Year Supply Plan'!BD:BD)</f>
        <v>288585</v>
      </c>
      <c r="CY10" s="35">
        <f t="shared" si="49"/>
        <v>1011.9199899304513</v>
      </c>
      <c r="CZ10" s="35">
        <f>SUMIF('5 Year Supply Plan'!A:A,'JZ_BRAND SPLITS'!C10,'5 Year Supply Plan'!BE:BE)</f>
        <v>263597</v>
      </c>
      <c r="DA10" s="35">
        <f t="shared" si="50"/>
        <v>924.2998547592465</v>
      </c>
      <c r="DB10" s="35">
        <f>SUMIF('5 Year Supply Plan'!A:A,'JZ_BRAND SPLITS'!C10,'5 Year Supply Plan'!BF:BF)</f>
        <v>286459</v>
      </c>
      <c r="DC10" s="35">
        <f t="shared" si="51"/>
        <v>1004.4651953340857</v>
      </c>
      <c r="DD10" s="35">
        <f>SUMIF('5 Year Supply Plan'!A:A,'JZ_BRAND SPLITS'!C10,'5 Year Supply Plan'!BG:BG)</f>
        <v>276137</v>
      </c>
      <c r="DE10" s="35">
        <f t="shared" si="52"/>
        <v>968.27122081683046</v>
      </c>
      <c r="DF10" s="35">
        <f>SUMIF('5 Year Supply Plan'!A:A,'JZ_BRAND SPLITS'!C10,'5 Year Supply Plan'!BH:BH)</f>
        <v>313286</v>
      </c>
      <c r="DG10" s="35">
        <f t="shared" si="53"/>
        <v>1098.5337628960319</v>
      </c>
      <c r="DH10" s="35">
        <f>SUMIF('5 Year Supply Plan'!A:A,'JZ_BRAND SPLITS'!C10,'5 Year Supply Plan'!BI:BI)</f>
        <v>329625</v>
      </c>
      <c r="DI10" s="35">
        <f t="shared" si="54"/>
        <v>1155.8262788461805</v>
      </c>
      <c r="DJ10" s="35">
        <f>SUMIF('5 Year Supply Plan'!A:A,'JZ_BRAND SPLITS'!C10,'5 Year Supply Plan'!BJ:BJ)</f>
        <v>307203</v>
      </c>
      <c r="DK10" s="35">
        <f t="shared" si="55"/>
        <v>1077.2037932207302</v>
      </c>
      <c r="DL10" s="35">
        <f>SUMIF('5 Year Supply Plan'!A:A,'JZ_BRAND SPLITS'!C10,'5 Year Supply Plan'!BK:BK)</f>
        <v>302051</v>
      </c>
      <c r="DM10" s="35">
        <f t="shared" si="56"/>
        <v>1059.1383643587947</v>
      </c>
      <c r="DN10" s="42">
        <f>SUMIF('5 Year Supply Plan'!A:A,'JZ_BRAND SPLITS'!C10,'5 Year Supply Plan'!BL:BL)</f>
        <v>308525</v>
      </c>
      <c r="DO10" s="35">
        <f t="shared" si="57"/>
        <v>1081.8393710459395</v>
      </c>
      <c r="DP10" s="35">
        <f>SUMIF('5 Year Supply Plan'!A:A,'JZ_BRAND SPLITS'!C10,'5 Year Supply Plan'!BM:BM)</f>
        <v>295867.875</v>
      </c>
      <c r="DQ10" s="35">
        <f t="shared" si="58"/>
        <v>1037.4573075202939</v>
      </c>
      <c r="DR10" s="35">
        <f>SUMIF('5 Year Supply Plan'!A:A,'JZ_BRAND SPLITS'!C10,'5 Year Supply Plan'!BN:BN)</f>
        <v>295867.875</v>
      </c>
      <c r="DS10" s="35">
        <f t="shared" si="59"/>
        <v>1037.4573075202939</v>
      </c>
      <c r="DT10" s="39">
        <f t="shared" si="60"/>
        <v>54338.008464210696</v>
      </c>
      <c r="DU10" s="36">
        <f>SUMIF('5 Year Supply Plan'!A:A,'JZ_BRAND SPLITS'!C10,'5 Year Supply Plan'!BO:BO)</f>
        <v>15496417.037597999</v>
      </c>
    </row>
    <row r="11" spans="1:125" x14ac:dyDescent="0.25">
      <c r="A11" s="40" t="s">
        <v>249</v>
      </c>
      <c r="B11" s="40" t="s">
        <v>246</v>
      </c>
      <c r="C11" s="40" t="s">
        <v>110</v>
      </c>
      <c r="D11" s="40" t="str">
        <f t="shared" si="0"/>
        <v>A01VISTA BRITE TIP (MODIFIED)</v>
      </c>
      <c r="E11" s="41">
        <v>0</v>
      </c>
      <c r="F11" s="35">
        <f>SUMIF('5 Year Supply Plan'!A:A,'JZ_BRAND SPLITS'!C11,'5 Year Supply Plan'!H:H)</f>
        <v>2205</v>
      </c>
      <c r="G11" s="35">
        <f t="shared" si="1"/>
        <v>0</v>
      </c>
      <c r="H11" s="35">
        <f>SUMIF('5 Year Supply Plan'!A:A,'JZ_BRAND SPLITS'!C11,'5 Year Supply Plan'!I:I)</f>
        <v>2880</v>
      </c>
      <c r="I11" s="35">
        <f t="shared" si="2"/>
        <v>0</v>
      </c>
      <c r="J11" s="35">
        <f>SUMIF('5 Year Supply Plan'!A:A,'JZ_BRAND SPLITS'!C11,'5 Year Supply Plan'!J:J)</f>
        <v>2400</v>
      </c>
      <c r="K11" s="35">
        <f t="shared" si="3"/>
        <v>0</v>
      </c>
      <c r="L11" s="35">
        <f>SUMIF('5 Year Supply Plan'!A:A,'JZ_BRAND SPLITS'!C11,'5 Year Supply Plan'!K:K)</f>
        <v>1132</v>
      </c>
      <c r="M11" s="35">
        <f t="shared" si="4"/>
        <v>0</v>
      </c>
      <c r="N11" s="35">
        <f>SUMIF('5 Year Supply Plan'!A:A,'JZ_BRAND SPLITS'!C11,'5 Year Supply Plan'!L:L)</f>
        <v>836</v>
      </c>
      <c r="O11" s="35">
        <f t="shared" si="5"/>
        <v>0</v>
      </c>
      <c r="P11" s="35">
        <f>SUMIF('5 Year Supply Plan'!A:A,'JZ_BRAND SPLITS'!C11,'5 Year Supply Plan'!M:M)</f>
        <v>1187</v>
      </c>
      <c r="Q11" s="35">
        <f t="shared" si="6"/>
        <v>0</v>
      </c>
      <c r="R11" s="35">
        <f>SUMIF('5 Year Supply Plan'!A:A,'JZ_BRAND SPLITS'!C11,'5 Year Supply Plan'!N:N)</f>
        <v>1117</v>
      </c>
      <c r="S11" s="35">
        <f t="shared" si="7"/>
        <v>0</v>
      </c>
      <c r="T11" s="35">
        <f>SUMIF('5 Year Supply Plan'!A:A,'JZ_BRAND SPLITS'!C11,'5 Year Supply Plan'!O:O)</f>
        <v>1171</v>
      </c>
      <c r="U11" s="35">
        <f t="shared" si="8"/>
        <v>0</v>
      </c>
      <c r="V11" s="35">
        <f>SUMIF('5 Year Supply Plan'!A:A,'JZ_BRAND SPLITS'!C11,'5 Year Supply Plan'!P:P)</f>
        <v>617</v>
      </c>
      <c r="W11" s="35">
        <f t="shared" si="9"/>
        <v>0</v>
      </c>
      <c r="X11" s="35">
        <f>SUMIF('5 Year Supply Plan'!A:A,'JZ_BRAND SPLITS'!C11,'5 Year Supply Plan'!Q:Q)</f>
        <v>541</v>
      </c>
      <c r="Y11" s="35">
        <f t="shared" si="10"/>
        <v>0</v>
      </c>
      <c r="Z11" s="35">
        <f>SUMIF('5 Year Supply Plan'!A:A,'JZ_BRAND SPLITS'!C11,'5 Year Supply Plan'!R:R)</f>
        <v>496</v>
      </c>
      <c r="AA11" s="35">
        <f t="shared" si="11"/>
        <v>0</v>
      </c>
      <c r="AB11" s="35">
        <f>SUMIF('5 Year Supply Plan'!A:A,'JZ_BRAND SPLITS'!C11,'5 Year Supply Plan'!S:S)</f>
        <v>682</v>
      </c>
      <c r="AC11" s="35">
        <f t="shared" si="12"/>
        <v>0</v>
      </c>
      <c r="AD11" s="35">
        <f>SUMIF('5 Year Supply Plan'!A:A,'JZ_BRAND SPLITS'!C11,'5 Year Supply Plan'!T:T)</f>
        <v>570</v>
      </c>
      <c r="AE11" s="35">
        <f t="shared" si="13"/>
        <v>0</v>
      </c>
      <c r="AF11" s="35">
        <f>SUMIF('5 Year Supply Plan'!A:A,'JZ_BRAND SPLITS'!C11,'5 Year Supply Plan'!U:U)</f>
        <v>510</v>
      </c>
      <c r="AG11" s="35">
        <f t="shared" si="14"/>
        <v>0</v>
      </c>
      <c r="AH11" s="35">
        <f>SUMIF('5 Year Supply Plan'!A:A,'JZ_BRAND SPLITS'!C11,'5 Year Supply Plan'!V:V)</f>
        <v>568</v>
      </c>
      <c r="AI11" s="35">
        <f t="shared" si="15"/>
        <v>0</v>
      </c>
      <c r="AJ11" s="35">
        <f>SUMIF('5 Year Supply Plan'!A:A,'JZ_BRAND SPLITS'!C11,'5 Year Supply Plan'!W:W)</f>
        <v>513</v>
      </c>
      <c r="AK11" s="35">
        <f t="shared" si="16"/>
        <v>0</v>
      </c>
      <c r="AL11" s="35">
        <f>SUMIF('5 Year Supply Plan'!A:A,'JZ_BRAND SPLITS'!C11,'5 Year Supply Plan'!X:X)</f>
        <v>564</v>
      </c>
      <c r="AM11" s="35">
        <f t="shared" si="17"/>
        <v>0</v>
      </c>
      <c r="AN11" s="35">
        <f>SUMIF('5 Year Supply Plan'!A:A,'JZ_BRAND SPLITS'!C11,'5 Year Supply Plan'!Y:Y)</f>
        <v>567</v>
      </c>
      <c r="AO11" s="35">
        <f t="shared" si="18"/>
        <v>0</v>
      </c>
      <c r="AP11" s="35">
        <f>SUMIF('5 Year Supply Plan'!A:A,'JZ_BRAND SPLITS'!C11,'5 Year Supply Plan'!Z:Z)</f>
        <v>508</v>
      </c>
      <c r="AQ11" s="35">
        <f t="shared" si="19"/>
        <v>0</v>
      </c>
      <c r="AR11" s="35">
        <f>SUMIF('5 Year Supply Plan'!A:A,'JZ_BRAND SPLITS'!C11,'5 Year Supply Plan'!AA:AA)</f>
        <v>539</v>
      </c>
      <c r="AS11" s="35">
        <f t="shared" si="20"/>
        <v>0</v>
      </c>
      <c r="AT11" s="35">
        <f>SUMIF('5 Year Supply Plan'!A:A,'JZ_BRAND SPLITS'!C11,'5 Year Supply Plan'!AB:AB)</f>
        <v>605</v>
      </c>
      <c r="AU11" s="35">
        <f t="shared" si="21"/>
        <v>0</v>
      </c>
      <c r="AV11" s="35">
        <f>SUMIF('5 Year Supply Plan'!A:A,'JZ_BRAND SPLITS'!C11,'5 Year Supply Plan'!AC:AC)</f>
        <v>582</v>
      </c>
      <c r="AW11" s="35">
        <f t="shared" si="22"/>
        <v>0</v>
      </c>
      <c r="AX11" s="35">
        <f>SUMIF('5 Year Supply Plan'!A:A,'JZ_BRAND SPLITS'!C11,'5 Year Supply Plan'!AD:AD)</f>
        <v>532</v>
      </c>
      <c r="AY11" s="35">
        <f t="shared" si="23"/>
        <v>0</v>
      </c>
      <c r="AZ11" s="35">
        <f>SUMIF('5 Year Supply Plan'!A:A,'JZ_BRAND SPLITS'!C11,'5 Year Supply Plan'!AE:AE)</f>
        <v>732</v>
      </c>
      <c r="BA11" s="35">
        <f t="shared" si="24"/>
        <v>0</v>
      </c>
      <c r="BB11" s="35">
        <f>SUMIF('5 Year Supply Plan'!A:A,'JZ_BRAND SPLITS'!C11,'5 Year Supply Plan'!AF:AF)</f>
        <v>613</v>
      </c>
      <c r="BC11" s="35">
        <f t="shared" si="25"/>
        <v>0</v>
      </c>
      <c r="BD11" s="35">
        <f>SUMIF('5 Year Supply Plan'!A:A,'JZ_BRAND SPLITS'!C11,'5 Year Supply Plan'!AG:AG)</f>
        <v>548</v>
      </c>
      <c r="BE11" s="35">
        <f t="shared" si="26"/>
        <v>0</v>
      </c>
      <c r="BF11" s="35">
        <f>SUMIF('5 Year Supply Plan'!A:A,'JZ_BRAND SPLITS'!C11,'5 Year Supply Plan'!AH:AH)</f>
        <v>609</v>
      </c>
      <c r="BG11" s="35">
        <f t="shared" si="27"/>
        <v>0</v>
      </c>
      <c r="BH11" s="35">
        <f>SUMIF('5 Year Supply Plan'!A:A,'JZ_BRAND SPLITS'!C11,'5 Year Supply Plan'!AI:AI)</f>
        <v>551</v>
      </c>
      <c r="BI11" s="35">
        <f t="shared" si="28"/>
        <v>0</v>
      </c>
      <c r="BJ11" s="35">
        <f>SUMIF('5 Year Supply Plan'!A:A,'JZ_BRAND SPLITS'!C11,'5 Year Supply Plan'!AJ:AJ)</f>
        <v>607</v>
      </c>
      <c r="BK11" s="35">
        <f t="shared" si="29"/>
        <v>0</v>
      </c>
      <c r="BL11" s="35">
        <f>SUMIF('5 Year Supply Plan'!A:A,'JZ_BRAND SPLITS'!C11,'5 Year Supply Plan'!AK:AK)</f>
        <v>609</v>
      </c>
      <c r="BM11" s="35">
        <f t="shared" si="30"/>
        <v>0</v>
      </c>
      <c r="BN11" s="35">
        <f>SUMIF('5 Year Supply Plan'!A:A,'JZ_BRAND SPLITS'!C11,'5 Year Supply Plan'!AL:AL)</f>
        <v>545</v>
      </c>
      <c r="BO11" s="35">
        <f t="shared" si="31"/>
        <v>0</v>
      </c>
      <c r="BP11" s="35">
        <f>SUMIF('5 Year Supply Plan'!A:A,'JZ_BRAND SPLITS'!C11,'5 Year Supply Plan'!AM:AM)</f>
        <v>578</v>
      </c>
      <c r="BQ11" s="35">
        <f t="shared" si="32"/>
        <v>0</v>
      </c>
      <c r="BR11" s="35">
        <f>SUMIF('5 Year Supply Plan'!A:A,'JZ_BRAND SPLITS'!C11,'5 Year Supply Plan'!AN:AN)</f>
        <v>650</v>
      </c>
      <c r="BS11" s="35">
        <f t="shared" si="33"/>
        <v>0</v>
      </c>
      <c r="BT11" s="35">
        <f>SUMIF('5 Year Supply Plan'!A:A,'JZ_BRAND SPLITS'!C11,'5 Year Supply Plan'!AO:AO)</f>
        <v>623</v>
      </c>
      <c r="BU11" s="35">
        <f t="shared" si="34"/>
        <v>0</v>
      </c>
      <c r="BV11" s="35">
        <f>SUMIF('5 Year Supply Plan'!A:A,'JZ_BRAND SPLITS'!C11,'5 Year Supply Plan'!AP:AP)</f>
        <v>570</v>
      </c>
      <c r="BW11" s="35">
        <f t="shared" si="35"/>
        <v>0</v>
      </c>
      <c r="BX11" s="35">
        <f>SUMIF('5 Year Supply Plan'!A:A,'JZ_BRAND SPLITS'!C11,'5 Year Supply Plan'!AQ:AQ)</f>
        <v>784</v>
      </c>
      <c r="BY11" s="35">
        <f t="shared" si="36"/>
        <v>0</v>
      </c>
      <c r="BZ11" s="35">
        <f>SUMIF('5 Year Supply Plan'!A:A,'JZ_BRAND SPLITS'!C11,'5 Year Supply Plan'!AR:AR)</f>
        <v>656</v>
      </c>
      <c r="CA11" s="35">
        <f t="shared" si="37"/>
        <v>0</v>
      </c>
      <c r="CB11" s="35">
        <f>SUMIF('5 Year Supply Plan'!A:A,'JZ_BRAND SPLITS'!C11,'5 Year Supply Plan'!AS:AS)</f>
        <v>588</v>
      </c>
      <c r="CC11" s="35">
        <f t="shared" si="38"/>
        <v>0</v>
      </c>
      <c r="CD11" s="35">
        <f>SUMIF('5 Year Supply Plan'!A:A,'JZ_BRAND SPLITS'!C11,'5 Year Supply Plan'!AT:AT)</f>
        <v>652</v>
      </c>
      <c r="CE11" s="35">
        <f t="shared" si="39"/>
        <v>0</v>
      </c>
      <c r="CF11" s="35">
        <f>SUMIF('5 Year Supply Plan'!A:A,'JZ_BRAND SPLITS'!C11,'5 Year Supply Plan'!AU:AU)</f>
        <v>590</v>
      </c>
      <c r="CG11" s="35">
        <f t="shared" si="40"/>
        <v>0</v>
      </c>
      <c r="CH11" s="35">
        <f>SUMIF('5 Year Supply Plan'!A:A,'JZ_BRAND SPLITS'!C11,'5 Year Supply Plan'!AV:AV)</f>
        <v>650</v>
      </c>
      <c r="CI11" s="35">
        <f t="shared" si="41"/>
        <v>0</v>
      </c>
      <c r="CJ11" s="35">
        <f>SUMIF('5 Year Supply Plan'!A:A,'JZ_BRAND SPLITS'!C11,'5 Year Supply Plan'!AW:AW)</f>
        <v>651</v>
      </c>
      <c r="CK11" s="35">
        <f t="shared" si="42"/>
        <v>0</v>
      </c>
      <c r="CL11" s="35">
        <f>SUMIF('5 Year Supply Plan'!A:A,'JZ_BRAND SPLITS'!C11,'5 Year Supply Plan'!AX:AX)</f>
        <v>585</v>
      </c>
      <c r="CM11" s="35">
        <f t="shared" si="43"/>
        <v>0</v>
      </c>
      <c r="CN11" s="35">
        <f>SUMIF('5 Year Supply Plan'!A:A,'JZ_BRAND SPLITS'!C11,'5 Year Supply Plan'!AY:AY)</f>
        <v>620</v>
      </c>
      <c r="CO11" s="35">
        <f t="shared" si="44"/>
        <v>0</v>
      </c>
      <c r="CP11" s="35">
        <f>SUMIF('5 Year Supply Plan'!A:A,'JZ_BRAND SPLITS'!C11,'5 Year Supply Plan'!AZ:AZ)</f>
        <v>695</v>
      </c>
      <c r="CQ11" s="35">
        <f t="shared" si="45"/>
        <v>0</v>
      </c>
      <c r="CR11" s="35">
        <f>SUMIF('5 Year Supply Plan'!A:A,'JZ_BRAND SPLITS'!C11,'5 Year Supply Plan'!BA:BA)</f>
        <v>671</v>
      </c>
      <c r="CS11" s="35">
        <f t="shared" si="46"/>
        <v>0</v>
      </c>
      <c r="CT11" s="35">
        <f>SUMIF('5 Year Supply Plan'!A:A,'JZ_BRAND SPLITS'!C11,'5 Year Supply Plan'!BB:BB)</f>
        <v>612</v>
      </c>
      <c r="CU11" s="35">
        <f t="shared" si="47"/>
        <v>0</v>
      </c>
      <c r="CV11" s="35">
        <f>SUMIF('5 Year Supply Plan'!A:A,'JZ_BRAND SPLITS'!C11,'5 Year Supply Plan'!BC:BC)</f>
        <v>843</v>
      </c>
      <c r="CW11" s="35">
        <f t="shared" si="48"/>
        <v>0</v>
      </c>
      <c r="CX11" s="35">
        <f>SUMIF('5 Year Supply Plan'!A:A,'JZ_BRAND SPLITS'!C11,'5 Year Supply Plan'!BD:BD)</f>
        <v>706</v>
      </c>
      <c r="CY11" s="35">
        <f t="shared" si="49"/>
        <v>0</v>
      </c>
      <c r="CZ11" s="35">
        <f>SUMIF('5 Year Supply Plan'!A:A,'JZ_BRAND SPLITS'!C11,'5 Year Supply Plan'!BE:BE)</f>
        <v>631</v>
      </c>
      <c r="DA11" s="35">
        <f t="shared" si="50"/>
        <v>0</v>
      </c>
      <c r="DB11" s="35">
        <f>SUMIF('5 Year Supply Plan'!A:A,'JZ_BRAND SPLITS'!C11,'5 Year Supply Plan'!BF:BF)</f>
        <v>700</v>
      </c>
      <c r="DC11" s="35">
        <f t="shared" si="51"/>
        <v>0</v>
      </c>
      <c r="DD11" s="35">
        <f>SUMIF('5 Year Supply Plan'!A:A,'JZ_BRAND SPLITS'!C11,'5 Year Supply Plan'!BG:BG)</f>
        <v>635</v>
      </c>
      <c r="DE11" s="35">
        <f t="shared" si="52"/>
        <v>0</v>
      </c>
      <c r="DF11" s="35">
        <f>SUMIF('5 Year Supply Plan'!A:A,'JZ_BRAND SPLITS'!C11,'5 Year Supply Plan'!BH:BH)</f>
        <v>698</v>
      </c>
      <c r="DG11" s="35">
        <f t="shared" si="53"/>
        <v>0</v>
      </c>
      <c r="DH11" s="35">
        <f>SUMIF('5 Year Supply Plan'!A:A,'JZ_BRAND SPLITS'!C11,'5 Year Supply Plan'!BI:BI)</f>
        <v>707</v>
      </c>
      <c r="DI11" s="35">
        <f t="shared" si="54"/>
        <v>0</v>
      </c>
      <c r="DJ11" s="35">
        <f>SUMIF('5 Year Supply Plan'!A:A,'JZ_BRAND SPLITS'!C11,'5 Year Supply Plan'!BJ:BJ)</f>
        <v>846</v>
      </c>
      <c r="DK11" s="35">
        <f t="shared" si="55"/>
        <v>0</v>
      </c>
      <c r="DL11" s="35">
        <f>SUMIF('5 Year Supply Plan'!A:A,'JZ_BRAND SPLITS'!C11,'5 Year Supply Plan'!BK:BK)</f>
        <v>1414</v>
      </c>
      <c r="DM11" s="35">
        <f t="shared" si="56"/>
        <v>0</v>
      </c>
      <c r="DN11" s="42">
        <f>SUMIF('5 Year Supply Plan'!A:A,'JZ_BRAND SPLITS'!C11,'5 Year Supply Plan'!BL:BL)</f>
        <v>2048</v>
      </c>
      <c r="DO11" s="35">
        <f t="shared" si="57"/>
        <v>0</v>
      </c>
      <c r="DP11" s="35">
        <f>SUMIF('5 Year Supply Plan'!A:A,'JZ_BRAND SPLITS'!C11,'5 Year Supply Plan'!BM:BM)</f>
        <v>792.125</v>
      </c>
      <c r="DQ11" s="35">
        <f t="shared" si="58"/>
        <v>0</v>
      </c>
      <c r="DR11" s="35">
        <f>SUMIF('5 Year Supply Plan'!A:A,'JZ_BRAND SPLITS'!C11,'5 Year Supply Plan'!BN:BN)</f>
        <v>792.125</v>
      </c>
      <c r="DS11" s="35">
        <f t="shared" si="59"/>
        <v>0</v>
      </c>
      <c r="DT11" s="39">
        <f t="shared" si="60"/>
        <v>0</v>
      </c>
      <c r="DU11" s="36">
        <f>SUMIF('5 Year Supply Plan'!A:A,'JZ_BRAND SPLITS'!C11,'5 Year Supply Plan'!BO:BO)</f>
        <v>47123.25</v>
      </c>
    </row>
    <row r="12" spans="1:125" x14ac:dyDescent="0.25">
      <c r="A12" s="40" t="s">
        <v>250</v>
      </c>
      <c r="B12" s="40" t="s">
        <v>246</v>
      </c>
      <c r="C12" s="40" t="s">
        <v>70</v>
      </c>
      <c r="D12" s="40" t="str">
        <f t="shared" si="0"/>
        <v>A02ABRITE TIP</v>
      </c>
      <c r="E12" s="41">
        <v>0.73722471947647994</v>
      </c>
      <c r="F12" s="35">
        <f>SUMIF('5 Year Supply Plan'!A:A,'JZ_BRAND SPLITS'!C12,'5 Year Supply Plan'!H:H)</f>
        <v>159148</v>
      </c>
      <c r="G12" s="35">
        <f t="shared" si="1"/>
        <v>117327.83965524283</v>
      </c>
      <c r="H12" s="35">
        <f>SUMIF('5 Year Supply Plan'!A:A,'JZ_BRAND SPLITS'!C12,'5 Year Supply Plan'!I:I)</f>
        <v>155459</v>
      </c>
      <c r="I12" s="35">
        <f t="shared" si="2"/>
        <v>114608.2176650941</v>
      </c>
      <c r="J12" s="35">
        <f>SUMIF('5 Year Supply Plan'!A:A,'JZ_BRAND SPLITS'!C12,'5 Year Supply Plan'!J:J)</f>
        <v>128367</v>
      </c>
      <c r="K12" s="35">
        <f t="shared" si="3"/>
        <v>94635.325565037303</v>
      </c>
      <c r="L12" s="35">
        <f>SUMIF('5 Year Supply Plan'!A:A,'JZ_BRAND SPLITS'!C12,'5 Year Supply Plan'!K:K)</f>
        <v>95000</v>
      </c>
      <c r="M12" s="35">
        <f t="shared" si="4"/>
        <v>70036.348350265587</v>
      </c>
      <c r="N12" s="35">
        <f>SUMIF('5 Year Supply Plan'!A:A,'JZ_BRAND SPLITS'!C12,'5 Year Supply Plan'!L:L)</f>
        <v>60740</v>
      </c>
      <c r="O12" s="35">
        <f t="shared" si="5"/>
        <v>44779.029461001388</v>
      </c>
      <c r="P12" s="35">
        <f>SUMIF('5 Year Supply Plan'!A:A,'JZ_BRAND SPLITS'!C12,'5 Year Supply Plan'!M:M)</f>
        <v>80000</v>
      </c>
      <c r="Q12" s="35">
        <f t="shared" si="6"/>
        <v>58977.977558118393</v>
      </c>
      <c r="R12" s="35">
        <f>SUMIF('5 Year Supply Plan'!A:A,'JZ_BRAND SPLITS'!C12,'5 Year Supply Plan'!N:N)</f>
        <v>95000</v>
      </c>
      <c r="S12" s="35">
        <f t="shared" si="7"/>
        <v>70036.348350265587</v>
      </c>
      <c r="T12" s="35">
        <f>SUMIF('5 Year Supply Plan'!A:A,'JZ_BRAND SPLITS'!C12,'5 Year Supply Plan'!O:O)</f>
        <v>95000</v>
      </c>
      <c r="U12" s="35">
        <f t="shared" si="8"/>
        <v>70036.348350265587</v>
      </c>
      <c r="V12" s="35">
        <f>SUMIF('5 Year Supply Plan'!A:A,'JZ_BRAND SPLITS'!C12,'5 Year Supply Plan'!P:P)</f>
        <v>95000</v>
      </c>
      <c r="W12" s="35">
        <f t="shared" si="9"/>
        <v>70036.348350265587</v>
      </c>
      <c r="X12" s="35">
        <f>SUMIF('5 Year Supply Plan'!A:A,'JZ_BRAND SPLITS'!C12,'5 Year Supply Plan'!Q:Q)</f>
        <v>95000</v>
      </c>
      <c r="Y12" s="35">
        <f t="shared" si="10"/>
        <v>70036.348350265587</v>
      </c>
      <c r="Z12" s="35">
        <f>SUMIF('5 Year Supply Plan'!A:A,'JZ_BRAND SPLITS'!C12,'5 Year Supply Plan'!R:R)</f>
        <v>100000</v>
      </c>
      <c r="AA12" s="35">
        <f t="shared" si="11"/>
        <v>73722.471947647995</v>
      </c>
      <c r="AB12" s="35">
        <f>SUMIF('5 Year Supply Plan'!A:A,'JZ_BRAND SPLITS'!C12,'5 Year Supply Plan'!S:S)</f>
        <v>108680</v>
      </c>
      <c r="AC12" s="35">
        <f t="shared" si="12"/>
        <v>80121.582512703841</v>
      </c>
      <c r="AD12" s="35">
        <f>SUMIF('5 Year Supply Plan'!A:A,'JZ_BRAND SPLITS'!C12,'5 Year Supply Plan'!T:T)</f>
        <v>108509</v>
      </c>
      <c r="AE12" s="35">
        <f t="shared" si="13"/>
        <v>79995.51708567336</v>
      </c>
      <c r="AF12" s="35">
        <f>SUMIF('5 Year Supply Plan'!A:A,'JZ_BRAND SPLITS'!C12,'5 Year Supply Plan'!U:U)</f>
        <v>105148</v>
      </c>
      <c r="AG12" s="35">
        <f t="shared" si="14"/>
        <v>77517.704803512912</v>
      </c>
      <c r="AH12" s="35">
        <f>SUMIF('5 Year Supply Plan'!A:A,'JZ_BRAND SPLITS'!C12,'5 Year Supply Plan'!V:V)</f>
        <v>108298</v>
      </c>
      <c r="AI12" s="35">
        <f t="shared" si="15"/>
        <v>79839.962669863831</v>
      </c>
      <c r="AJ12" s="35">
        <f>SUMIF('5 Year Supply Plan'!A:A,'JZ_BRAND SPLITS'!C12,'5 Year Supply Plan'!W:W)</f>
        <v>101096</v>
      </c>
      <c r="AK12" s="35">
        <f t="shared" si="16"/>
        <v>74530.47024019422</v>
      </c>
      <c r="AL12" s="35">
        <f>SUMIF('5 Year Supply Plan'!A:A,'JZ_BRAND SPLITS'!C12,'5 Year Supply Plan'!X:X)</f>
        <v>106931</v>
      </c>
      <c r="AM12" s="35">
        <f t="shared" si="17"/>
        <v>78832.176478339476</v>
      </c>
      <c r="AN12" s="35">
        <f>SUMIF('5 Year Supply Plan'!A:A,'JZ_BRAND SPLITS'!C12,'5 Year Supply Plan'!Y:Y)</f>
        <v>102807</v>
      </c>
      <c r="AO12" s="35">
        <f t="shared" si="18"/>
        <v>75791.861735218466</v>
      </c>
      <c r="AP12" s="35">
        <f>SUMIF('5 Year Supply Plan'!A:A,'JZ_BRAND SPLITS'!C12,'5 Year Supply Plan'!Z:Z)</f>
        <v>89522</v>
      </c>
      <c r="AQ12" s="35">
        <f t="shared" si="19"/>
        <v>65997.831336973439</v>
      </c>
      <c r="AR12" s="35">
        <f>SUMIF('5 Year Supply Plan'!A:A,'JZ_BRAND SPLITS'!C12,'5 Year Supply Plan'!AA:AA)</f>
        <v>102972</v>
      </c>
      <c r="AS12" s="35">
        <f t="shared" si="20"/>
        <v>75913.503813932097</v>
      </c>
      <c r="AT12" s="35">
        <f>SUMIF('5 Year Supply Plan'!A:A,'JZ_BRAND SPLITS'!C12,'5 Year Supply Plan'!AB:AB)</f>
        <v>116923</v>
      </c>
      <c r="AU12" s="35">
        <f t="shared" si="21"/>
        <v>86198.525875348467</v>
      </c>
      <c r="AV12" s="35">
        <f>SUMIF('5 Year Supply Plan'!A:A,'JZ_BRAND SPLITS'!C12,'5 Year Supply Plan'!AC:AC)</f>
        <v>105515</v>
      </c>
      <c r="AW12" s="35">
        <f t="shared" si="22"/>
        <v>77788.266275560774</v>
      </c>
      <c r="AX12" s="35">
        <f>SUMIF('5 Year Supply Plan'!A:A,'JZ_BRAND SPLITS'!C12,'5 Year Supply Plan'!AD:AD)</f>
        <v>91383</v>
      </c>
      <c r="AY12" s="35">
        <f t="shared" si="23"/>
        <v>67369.806539919169</v>
      </c>
      <c r="AZ12" s="35">
        <f>SUMIF('5 Year Supply Plan'!A:A,'JZ_BRAND SPLITS'!C12,'5 Year Supply Plan'!AE:AE)</f>
        <v>111801</v>
      </c>
      <c r="BA12" s="35">
        <f t="shared" si="24"/>
        <v>82422.460862189939</v>
      </c>
      <c r="BB12" s="35">
        <f>SUMIF('5 Year Supply Plan'!A:A,'JZ_BRAND SPLITS'!C12,'5 Year Supply Plan'!AF:AF)</f>
        <v>111595</v>
      </c>
      <c r="BC12" s="35">
        <f t="shared" si="25"/>
        <v>82270.592569977773</v>
      </c>
      <c r="BD12" s="35">
        <f>SUMIF('5 Year Supply Plan'!A:A,'JZ_BRAND SPLITS'!C12,'5 Year Supply Plan'!AG:AG)</f>
        <v>108097</v>
      </c>
      <c r="BE12" s="35">
        <f t="shared" si="26"/>
        <v>79691.780501249057</v>
      </c>
      <c r="BF12" s="35">
        <f>SUMIF('5 Year Supply Plan'!A:A,'JZ_BRAND SPLITS'!C12,'5 Year Supply Plan'!AH:AH)</f>
        <v>111224</v>
      </c>
      <c r="BG12" s="35">
        <f t="shared" si="27"/>
        <v>81997.082199052005</v>
      </c>
      <c r="BH12" s="35">
        <f>SUMIF('5 Year Supply Plan'!A:A,'JZ_BRAND SPLITS'!C12,'5 Year Supply Plan'!AI:AI)</f>
        <v>103927</v>
      </c>
      <c r="BI12" s="35">
        <f t="shared" si="28"/>
        <v>76617.553421032135</v>
      </c>
      <c r="BJ12" s="35">
        <f>SUMIF('5 Year Supply Plan'!A:A,'JZ_BRAND SPLITS'!C12,'5 Year Supply Plan'!AJ:AJ)</f>
        <v>110058</v>
      </c>
      <c r="BK12" s="35">
        <f t="shared" si="29"/>
        <v>81137.478176142424</v>
      </c>
      <c r="BL12" s="35">
        <f>SUMIF('5 Year Supply Plan'!A:A,'JZ_BRAND SPLITS'!C12,'5 Year Supply Plan'!AK:AK)</f>
        <v>105845</v>
      </c>
      <c r="BM12" s="35">
        <f t="shared" si="30"/>
        <v>78031.55043298802</v>
      </c>
      <c r="BN12" s="35">
        <f>SUMIF('5 Year Supply Plan'!A:A,'JZ_BRAND SPLITS'!C12,'5 Year Supply Plan'!AL:AL)</f>
        <v>92075</v>
      </c>
      <c r="BO12" s="35">
        <f t="shared" si="31"/>
        <v>67879.966045796886</v>
      </c>
      <c r="BP12" s="35">
        <f>SUMIF('5 Year Supply Plan'!A:A,'JZ_BRAND SPLITS'!C12,'5 Year Supply Plan'!AM:AM)</f>
        <v>106215</v>
      </c>
      <c r="BQ12" s="35">
        <f t="shared" si="32"/>
        <v>78304.323579194315</v>
      </c>
      <c r="BR12" s="35">
        <f>SUMIF('5 Year Supply Plan'!A:A,'JZ_BRAND SPLITS'!C12,'5 Year Supply Plan'!AN:AN)</f>
        <v>121018</v>
      </c>
      <c r="BS12" s="35">
        <f t="shared" si="33"/>
        <v>89217.461101604655</v>
      </c>
      <c r="BT12" s="35">
        <f>SUMIF('5 Year Supply Plan'!A:A,'JZ_BRAND SPLITS'!C12,'5 Year Supply Plan'!AO:AO)</f>
        <v>109939</v>
      </c>
      <c r="BU12" s="35">
        <f t="shared" si="34"/>
        <v>81049.748434524721</v>
      </c>
      <c r="BV12" s="35">
        <f>SUMIF('5 Year Supply Plan'!A:A,'JZ_BRAND SPLITS'!C12,'5 Year Supply Plan'!AP:AP)</f>
        <v>95222</v>
      </c>
      <c r="BW12" s="35">
        <f t="shared" si="35"/>
        <v>70200.012237989373</v>
      </c>
      <c r="BX12" s="35">
        <f>SUMIF('5 Year Supply Plan'!A:A,'JZ_BRAND SPLITS'!C12,'5 Year Supply Plan'!AQ:AQ)</f>
        <v>116566</v>
      </c>
      <c r="BY12" s="35">
        <f t="shared" si="36"/>
        <v>85935.336650495359</v>
      </c>
      <c r="BZ12" s="35">
        <f>SUMIF('5 Year Supply Plan'!A:A,'JZ_BRAND SPLITS'!C12,'5 Year Supply Plan'!AR:AR)</f>
        <v>116333</v>
      </c>
      <c r="CA12" s="35">
        <f t="shared" si="37"/>
        <v>85763.563290857346</v>
      </c>
      <c r="CB12" s="35">
        <f>SUMIF('5 Year Supply Plan'!A:A,'JZ_BRAND SPLITS'!C12,'5 Year Supply Plan'!AS:AS)</f>
        <v>112657</v>
      </c>
      <c r="CC12" s="35">
        <f t="shared" si="38"/>
        <v>83053.525222061799</v>
      </c>
      <c r="CD12" s="35">
        <f>SUMIF('5 Year Supply Plan'!A:A,'JZ_BRAND SPLITS'!C12,'5 Year Supply Plan'!AT:AT)</f>
        <v>115835</v>
      </c>
      <c r="CE12" s="35">
        <f t="shared" si="39"/>
        <v>85396.425380558052</v>
      </c>
      <c r="CF12" s="35">
        <f>SUMIF('5 Year Supply Plan'!A:A,'JZ_BRAND SPLITS'!C12,'5 Year Supply Plan'!AU:AU)</f>
        <v>108309</v>
      </c>
      <c r="CG12" s="35">
        <f t="shared" si="40"/>
        <v>79848.072141778059</v>
      </c>
      <c r="CH12" s="35">
        <f>SUMIF('5 Year Supply Plan'!A:A,'JZ_BRAND SPLITS'!C12,'5 Year Supply Plan'!AV:AV)</f>
        <v>114793</v>
      </c>
      <c r="CI12" s="35">
        <f t="shared" si="41"/>
        <v>84628.237222863565</v>
      </c>
      <c r="CJ12" s="35">
        <f>SUMIF('5 Year Supply Plan'!A:A,'JZ_BRAND SPLITS'!C12,'5 Year Supply Plan'!AW:AW)</f>
        <v>110416</v>
      </c>
      <c r="CK12" s="35">
        <f t="shared" si="42"/>
        <v>81401.404625715004</v>
      </c>
      <c r="CL12" s="35">
        <f>SUMIF('5 Year Supply Plan'!A:A,'JZ_BRAND SPLITS'!C12,'5 Year Supply Plan'!AX:AX)</f>
        <v>96042</v>
      </c>
      <c r="CM12" s="35">
        <f t="shared" si="43"/>
        <v>70804.536507960089</v>
      </c>
      <c r="CN12" s="35">
        <f>SUMIF('5 Year Supply Plan'!A:A,'JZ_BRAND SPLITS'!C12,'5 Year Supply Plan'!AY:AY)</f>
        <v>110495</v>
      </c>
      <c r="CO12" s="35">
        <f t="shared" si="44"/>
        <v>81459.645378553658</v>
      </c>
      <c r="CP12" s="35">
        <f>SUMIF('5 Year Supply Plan'!A:A,'JZ_BRAND SPLITS'!C12,'5 Year Supply Plan'!AZ:AZ)</f>
        <v>125741</v>
      </c>
      <c r="CQ12" s="35">
        <f t="shared" si="45"/>
        <v>92699.373451692067</v>
      </c>
      <c r="CR12" s="35">
        <f>SUMIF('5 Year Supply Plan'!A:A,'JZ_BRAND SPLITS'!C12,'5 Year Supply Plan'!BA:BA)</f>
        <v>114320</v>
      </c>
      <c r="CS12" s="35">
        <f t="shared" si="46"/>
        <v>84279.529930551187</v>
      </c>
      <c r="CT12" s="35">
        <f>SUMIF('5 Year Supply Plan'!A:A,'JZ_BRAND SPLITS'!C12,'5 Year Supply Plan'!BB:BB)</f>
        <v>98918</v>
      </c>
      <c r="CU12" s="35">
        <f t="shared" si="47"/>
        <v>72924.794801174445</v>
      </c>
      <c r="CV12" s="35">
        <f>SUMIF('5 Year Supply Plan'!A:A,'JZ_BRAND SPLITS'!C12,'5 Year Supply Plan'!BC:BC)</f>
        <v>121156</v>
      </c>
      <c r="CW12" s="35">
        <f t="shared" si="48"/>
        <v>89319.198112892409</v>
      </c>
      <c r="CX12" s="35">
        <f>SUMIF('5 Year Supply Plan'!A:A,'JZ_BRAND SPLITS'!C12,'5 Year Supply Plan'!BD:BD)</f>
        <v>120888</v>
      </c>
      <c r="CY12" s="35">
        <f t="shared" si="49"/>
        <v>89121.62188807271</v>
      </c>
      <c r="CZ12" s="35">
        <f>SUMIF('5 Year Supply Plan'!A:A,'JZ_BRAND SPLITS'!C12,'5 Year Supply Plan'!BE:BE)</f>
        <v>117018</v>
      </c>
      <c r="DA12" s="35">
        <f t="shared" si="50"/>
        <v>86268.562223698726</v>
      </c>
      <c r="DB12" s="35">
        <f>SUMIF('5 Year Supply Plan'!A:A,'JZ_BRAND SPLITS'!C12,'5 Year Supply Plan'!BF:BF)</f>
        <v>120215</v>
      </c>
      <c r="DC12" s="35">
        <f t="shared" si="51"/>
        <v>88625.469651865031</v>
      </c>
      <c r="DD12" s="35">
        <f>SUMIF('5 Year Supply Plan'!A:A,'JZ_BRAND SPLITS'!C12,'5 Year Supply Plan'!BG:BG)</f>
        <v>112512</v>
      </c>
      <c r="DE12" s="35">
        <f t="shared" si="52"/>
        <v>82946.627637737707</v>
      </c>
      <c r="DF12" s="35">
        <f>SUMIF('5 Year Supply Plan'!A:A,'JZ_BRAND SPLITS'!C12,'5 Year Supply Plan'!BH:BH)</f>
        <v>119373</v>
      </c>
      <c r="DG12" s="35">
        <f t="shared" si="53"/>
        <v>88004.726438065845</v>
      </c>
      <c r="DH12" s="35">
        <f>SUMIF('5 Year Supply Plan'!A:A,'JZ_BRAND SPLITS'!C12,'5 Year Supply Plan'!BI:BI)</f>
        <v>114863</v>
      </c>
      <c r="DI12" s="35">
        <f t="shared" si="54"/>
        <v>84679.842953226922</v>
      </c>
      <c r="DJ12" s="35">
        <f>SUMIF('5 Year Supply Plan'!A:A,'JZ_BRAND SPLITS'!C12,'5 Year Supply Plan'!BJ:BJ)</f>
        <v>99895</v>
      </c>
      <c r="DK12" s="35">
        <f t="shared" si="55"/>
        <v>73645.063352102967</v>
      </c>
      <c r="DL12" s="35">
        <f>SUMIF('5 Year Supply Plan'!A:A,'JZ_BRAND SPLITS'!C12,'5 Year Supply Plan'!BK:BK)</f>
        <v>103796</v>
      </c>
      <c r="DM12" s="35">
        <f t="shared" si="56"/>
        <v>76520.976982780718</v>
      </c>
      <c r="DN12" s="42">
        <f>SUMIF('5 Year Supply Plan'!A:A,'JZ_BRAND SPLITS'!C12,'5 Year Supply Plan'!BL:BL)</f>
        <v>115239</v>
      </c>
      <c r="DO12" s="35">
        <f t="shared" si="57"/>
        <v>84957.039447750067</v>
      </c>
      <c r="DP12" s="35">
        <f>SUMIF('5 Year Supply Plan'!A:A,'JZ_BRAND SPLITS'!C12,'5 Year Supply Plan'!BM:BM)</f>
        <v>113570</v>
      </c>
      <c r="DQ12" s="35">
        <f t="shared" si="58"/>
        <v>83726.611390943828</v>
      </c>
      <c r="DR12" s="35">
        <f>SUMIF('5 Year Supply Plan'!A:A,'JZ_BRAND SPLITS'!C12,'5 Year Supply Plan'!BN:BN)</f>
        <v>113570</v>
      </c>
      <c r="DS12" s="35">
        <f t="shared" si="59"/>
        <v>83726.611390943828</v>
      </c>
      <c r="DT12" s="39">
        <f t="shared" si="60"/>
        <v>4722686.6186067937</v>
      </c>
      <c r="DU12" s="36">
        <f>SUMIF('5 Year Supply Plan'!A:A,'JZ_BRAND SPLITS'!C12,'5 Year Supply Plan'!BO:BO)</f>
        <v>6406034</v>
      </c>
    </row>
    <row r="13" spans="1:125" x14ac:dyDescent="0.25">
      <c r="A13" s="40" t="s">
        <v>251</v>
      </c>
      <c r="B13" s="40" t="s">
        <v>246</v>
      </c>
      <c r="C13" s="40" t="s">
        <v>69</v>
      </c>
      <c r="D13" s="40" t="str">
        <f t="shared" si="0"/>
        <v>A02BAVANTI PLUS</v>
      </c>
      <c r="E13" s="41">
        <v>0.21103472502133577</v>
      </c>
      <c r="F13" s="35">
        <f>SUMIF('5 Year Supply Plan'!A:A,'JZ_BRAND SPLITS'!C13,'5 Year Supply Plan'!H:H)</f>
        <v>563176.734375</v>
      </c>
      <c r="G13" s="35">
        <f t="shared" si="1"/>
        <v>118849.84727724198</v>
      </c>
      <c r="H13" s="35">
        <f>SUMIF('5 Year Supply Plan'!A:A,'JZ_BRAND SPLITS'!C13,'5 Year Supply Plan'!I:I)</f>
        <v>676363.351563</v>
      </c>
      <c r="I13" s="35">
        <f t="shared" si="2"/>
        <v>142736.15391160676</v>
      </c>
      <c r="J13" s="35">
        <f>SUMIF('5 Year Supply Plan'!A:A,'JZ_BRAND SPLITS'!C13,'5 Year Supply Plan'!J:J)</f>
        <v>563719.9375</v>
      </c>
      <c r="K13" s="35">
        <f t="shared" si="3"/>
        <v>118964.48199935709</v>
      </c>
      <c r="L13" s="35">
        <f>SUMIF('5 Year Supply Plan'!A:A,'JZ_BRAND SPLITS'!C13,'5 Year Supply Plan'!K:K)</f>
        <v>512615</v>
      </c>
      <c r="M13" s="35">
        <f t="shared" si="4"/>
        <v>108179.56556681203</v>
      </c>
      <c r="N13" s="35">
        <f>SUMIF('5 Year Supply Plan'!A:A,'JZ_BRAND SPLITS'!C13,'5 Year Supply Plan'!L:L)</f>
        <v>483484</v>
      </c>
      <c r="O13" s="35">
        <f t="shared" si="5"/>
        <v>102031.91299221551</v>
      </c>
      <c r="P13" s="35">
        <f>SUMIF('5 Year Supply Plan'!A:A,'JZ_BRAND SPLITS'!C13,'5 Year Supply Plan'!M:M)</f>
        <v>511792</v>
      </c>
      <c r="Q13" s="35">
        <f t="shared" si="6"/>
        <v>108005.88398811947</v>
      </c>
      <c r="R13" s="35">
        <f>SUMIF('5 Year Supply Plan'!A:A,'JZ_BRAND SPLITS'!C13,'5 Year Supply Plan'!N:N)</f>
        <v>480492</v>
      </c>
      <c r="S13" s="35">
        <f t="shared" si="7"/>
        <v>101400.49709495167</v>
      </c>
      <c r="T13" s="35">
        <f>SUMIF('5 Year Supply Plan'!A:A,'JZ_BRAND SPLITS'!C13,'5 Year Supply Plan'!O:O)</f>
        <v>475448</v>
      </c>
      <c r="U13" s="35">
        <f t="shared" si="8"/>
        <v>100336.03794194404</v>
      </c>
      <c r="V13" s="35">
        <f>SUMIF('5 Year Supply Plan'!A:A,'JZ_BRAND SPLITS'!C13,'5 Year Supply Plan'!P:P)</f>
        <v>493730</v>
      </c>
      <c r="W13" s="35">
        <f t="shared" si="9"/>
        <v>104194.17478478412</v>
      </c>
      <c r="X13" s="35">
        <f>SUMIF('5 Year Supply Plan'!A:A,'JZ_BRAND SPLITS'!C13,'5 Year Supply Plan'!Q:Q)</f>
        <v>540517</v>
      </c>
      <c r="Y13" s="35">
        <f t="shared" si="10"/>
        <v>114067.85646435735</v>
      </c>
      <c r="Z13" s="35">
        <f>SUMIF('5 Year Supply Plan'!A:A,'JZ_BRAND SPLITS'!C13,'5 Year Supply Plan'!R:R)</f>
        <v>475766</v>
      </c>
      <c r="AA13" s="35">
        <f t="shared" si="11"/>
        <v>100403.14698450084</v>
      </c>
      <c r="AB13" s="35">
        <f>SUMIF('5 Year Supply Plan'!A:A,'JZ_BRAND SPLITS'!C13,'5 Year Supply Plan'!S:S)</f>
        <v>547931</v>
      </c>
      <c r="AC13" s="35">
        <f t="shared" si="12"/>
        <v>115632.46791566553</v>
      </c>
      <c r="AD13" s="35">
        <f>SUMIF('5 Year Supply Plan'!A:A,'JZ_BRAND SPLITS'!C13,'5 Year Supply Plan'!T:T)</f>
        <v>559087</v>
      </c>
      <c r="AE13" s="35">
        <f t="shared" si="13"/>
        <v>117986.77130800355</v>
      </c>
      <c r="AF13" s="35">
        <f>SUMIF('5 Year Supply Plan'!A:A,'JZ_BRAND SPLITS'!C13,'5 Year Supply Plan'!U:U)</f>
        <v>524750</v>
      </c>
      <c r="AG13" s="35">
        <f t="shared" si="14"/>
        <v>110740.47195494594</v>
      </c>
      <c r="AH13" s="35">
        <f>SUMIF('5 Year Supply Plan'!A:A,'JZ_BRAND SPLITS'!C13,'5 Year Supply Plan'!V:V)</f>
        <v>554431</v>
      </c>
      <c r="AI13" s="35">
        <f t="shared" si="15"/>
        <v>117004.19362830422</v>
      </c>
      <c r="AJ13" s="35">
        <f>SUMIF('5 Year Supply Plan'!A:A,'JZ_BRAND SPLITS'!C13,'5 Year Supply Plan'!W:W)</f>
        <v>525662</v>
      </c>
      <c r="AK13" s="35">
        <f t="shared" si="16"/>
        <v>110932.9356241654</v>
      </c>
      <c r="AL13" s="35">
        <f>SUMIF('5 Year Supply Plan'!A:A,'JZ_BRAND SPLITS'!C13,'5 Year Supply Plan'!X:X)</f>
        <v>564556</v>
      </c>
      <c r="AM13" s="35">
        <f t="shared" si="17"/>
        <v>119140.92021914524</v>
      </c>
      <c r="AN13" s="35">
        <f>SUMIF('5 Year Supply Plan'!A:A,'JZ_BRAND SPLITS'!C13,'5 Year Supply Plan'!Y:Y)</f>
        <v>549100</v>
      </c>
      <c r="AO13" s="35">
        <f t="shared" si="18"/>
        <v>115879.16750921548</v>
      </c>
      <c r="AP13" s="35">
        <f>SUMIF('5 Year Supply Plan'!A:A,'JZ_BRAND SPLITS'!C13,'5 Year Supply Plan'!Z:Z)</f>
        <v>493951</v>
      </c>
      <c r="AQ13" s="35">
        <f t="shared" si="19"/>
        <v>104240.81345901382</v>
      </c>
      <c r="AR13" s="35">
        <f>SUMIF('5 Year Supply Plan'!A:A,'JZ_BRAND SPLITS'!C13,'5 Year Supply Plan'!AA:AA)</f>
        <v>499570</v>
      </c>
      <c r="AS13" s="35">
        <f t="shared" si="20"/>
        <v>105426.61757890871</v>
      </c>
      <c r="AT13" s="35">
        <f>SUMIF('5 Year Supply Plan'!A:A,'JZ_BRAND SPLITS'!C13,'5 Year Supply Plan'!AB:AB)</f>
        <v>536652</v>
      </c>
      <c r="AU13" s="35">
        <f t="shared" si="21"/>
        <v>113252.20725214989</v>
      </c>
      <c r="AV13" s="35">
        <f>SUMIF('5 Year Supply Plan'!A:A,'JZ_BRAND SPLITS'!C13,'5 Year Supply Plan'!AC:AC)</f>
        <v>603150</v>
      </c>
      <c r="AW13" s="35">
        <f t="shared" si="22"/>
        <v>127285.59439661868</v>
      </c>
      <c r="AX13" s="35">
        <f>SUMIF('5 Year Supply Plan'!A:A,'JZ_BRAND SPLITS'!C13,'5 Year Supply Plan'!AD:AD)</f>
        <v>519690</v>
      </c>
      <c r="AY13" s="35">
        <f t="shared" si="23"/>
        <v>109672.63624633799</v>
      </c>
      <c r="AZ13" s="35">
        <f>SUMIF('5 Year Supply Plan'!A:A,'JZ_BRAND SPLITS'!C13,'5 Year Supply Plan'!AE:AE)</f>
        <v>594140</v>
      </c>
      <c r="BA13" s="35">
        <f t="shared" si="24"/>
        <v>125384.17152417643</v>
      </c>
      <c r="BB13" s="35">
        <f>SUMIF('5 Year Supply Plan'!A:A,'JZ_BRAND SPLITS'!C13,'5 Year Supply Plan'!AF:AF)</f>
        <v>606784</v>
      </c>
      <c r="BC13" s="35">
        <f t="shared" si="25"/>
        <v>128052.4945873462</v>
      </c>
      <c r="BD13" s="35">
        <f>SUMIF('5 Year Supply Plan'!A:A,'JZ_BRAND SPLITS'!C13,'5 Year Supply Plan'!AG:AG)</f>
        <v>570808</v>
      </c>
      <c r="BE13" s="35">
        <f t="shared" si="26"/>
        <v>120460.30931997862</v>
      </c>
      <c r="BF13" s="35">
        <f>SUMIF('5 Year Supply Plan'!A:A,'JZ_BRAND SPLITS'!C13,'5 Year Supply Plan'!AH:AH)</f>
        <v>602016</v>
      </c>
      <c r="BG13" s="35">
        <f t="shared" si="27"/>
        <v>127046.28101844448</v>
      </c>
      <c r="BH13" s="35">
        <f>SUMIF('5 Year Supply Plan'!A:A,'JZ_BRAND SPLITS'!C13,'5 Year Supply Plan'!AI:AI)</f>
        <v>569110</v>
      </c>
      <c r="BI13" s="35">
        <f t="shared" si="28"/>
        <v>120101.97235689239</v>
      </c>
      <c r="BJ13" s="35">
        <f>SUMIF('5 Year Supply Plan'!A:A,'JZ_BRAND SPLITS'!C13,'5 Year Supply Plan'!AJ:AJ)</f>
        <v>612307</v>
      </c>
      <c r="BK13" s="35">
        <f t="shared" si="29"/>
        <v>129218.03937363904</v>
      </c>
      <c r="BL13" s="35">
        <f>SUMIF('5 Year Supply Plan'!A:A,'JZ_BRAND SPLITS'!C13,'5 Year Supply Plan'!AK:AK)</f>
        <v>596015</v>
      </c>
      <c r="BM13" s="35">
        <f t="shared" si="30"/>
        <v>125779.86163359144</v>
      </c>
      <c r="BN13" s="35">
        <f>SUMIF('5 Year Supply Plan'!A:A,'JZ_BRAND SPLITS'!C13,'5 Year Supply Plan'!AL:AL)</f>
        <v>535369</v>
      </c>
      <c r="BO13" s="35">
        <f t="shared" si="31"/>
        <v>112981.44969994751</v>
      </c>
      <c r="BP13" s="35">
        <f>SUMIF('5 Year Supply Plan'!A:A,'JZ_BRAND SPLITS'!C13,'5 Year Supply Plan'!AM:AM)</f>
        <v>541992</v>
      </c>
      <c r="BQ13" s="35">
        <f t="shared" si="32"/>
        <v>114379.13268376382</v>
      </c>
      <c r="BR13" s="35">
        <f>SUMIF('5 Year Supply Plan'!A:A,'JZ_BRAND SPLITS'!C13,'5 Year Supply Plan'!AN:AN)</f>
        <v>585661</v>
      </c>
      <c r="BS13" s="35">
        <f t="shared" si="33"/>
        <v>123594.80809072053</v>
      </c>
      <c r="BT13" s="35">
        <f>SUMIF('5 Year Supply Plan'!A:A,'JZ_BRAND SPLITS'!C13,'5 Year Supply Plan'!AO:AO)</f>
        <v>661295</v>
      </c>
      <c r="BU13" s="35">
        <f t="shared" si="34"/>
        <v>139556.20848298425</v>
      </c>
      <c r="BV13" s="35">
        <f>SUMIF('5 Year Supply Plan'!A:A,'JZ_BRAND SPLITS'!C13,'5 Year Supply Plan'!AP:AP)</f>
        <v>568036</v>
      </c>
      <c r="BW13" s="35">
        <f t="shared" si="35"/>
        <v>119875.32106221949</v>
      </c>
      <c r="BX13" s="35">
        <f>SUMIF('5 Year Supply Plan'!A:A,'JZ_BRAND SPLITS'!C13,'5 Year Supply Plan'!AQ:AQ)</f>
        <v>648742</v>
      </c>
      <c r="BY13" s="35">
        <f t="shared" si="36"/>
        <v>136907.08957979141</v>
      </c>
      <c r="BZ13" s="35">
        <f>SUMIF('5 Year Supply Plan'!A:A,'JZ_BRAND SPLITS'!C13,'5 Year Supply Plan'!AR:AR)</f>
        <v>663107</v>
      </c>
      <c r="CA13" s="35">
        <f t="shared" si="37"/>
        <v>139938.6034047229</v>
      </c>
      <c r="CB13" s="35">
        <f>SUMIF('5 Year Supply Plan'!A:A,'JZ_BRAND SPLITS'!C13,'5 Year Supply Plan'!AS:AS)</f>
        <v>624999</v>
      </c>
      <c r="CC13" s="35">
        <f t="shared" si="38"/>
        <v>131896.49210360984</v>
      </c>
      <c r="CD13" s="35">
        <f>SUMIF('5 Year Supply Plan'!A:A,'JZ_BRAND SPLITS'!C13,'5 Year Supply Plan'!AT:AT)</f>
        <v>658341</v>
      </c>
      <c r="CE13" s="35">
        <f t="shared" si="39"/>
        <v>138932.81190527123</v>
      </c>
      <c r="CF13" s="35">
        <f>SUMIF('5 Year Supply Plan'!A:A,'JZ_BRAND SPLITS'!C13,'5 Year Supply Plan'!AU:AU)</f>
        <v>620716</v>
      </c>
      <c r="CG13" s="35">
        <f t="shared" si="40"/>
        <v>130992.63037634346</v>
      </c>
      <c r="CH13" s="35">
        <f>SUMIF('5 Year Supply Plan'!A:A,'JZ_BRAND SPLITS'!C13,'5 Year Supply Plan'!AV:AV)</f>
        <v>668885</v>
      </c>
      <c r="CI13" s="35">
        <f t="shared" si="41"/>
        <v>141157.96204589619</v>
      </c>
      <c r="CJ13" s="35">
        <f>SUMIF('5 Year Supply Plan'!A:A,'JZ_BRAND SPLITS'!C13,'5 Year Supply Plan'!AW:AW)</f>
        <v>651687</v>
      </c>
      <c r="CK13" s="35">
        <f t="shared" si="42"/>
        <v>137528.58684497923</v>
      </c>
      <c r="CL13" s="35">
        <f>SUMIF('5 Year Supply Plan'!A:A,'JZ_BRAND SPLITS'!C13,'5 Year Supply Plan'!AX:AX)</f>
        <v>588125</v>
      </c>
      <c r="CM13" s="35">
        <f t="shared" si="43"/>
        <v>124114.7976531731</v>
      </c>
      <c r="CN13" s="35">
        <f>SUMIF('5 Year Supply Plan'!A:A,'JZ_BRAND SPLITS'!C13,'5 Year Supply Plan'!AY:AY)</f>
        <v>585427</v>
      </c>
      <c r="CO13" s="35">
        <f t="shared" si="44"/>
        <v>123545.42596506554</v>
      </c>
      <c r="CP13" s="35">
        <f>SUMIF('5 Year Supply Plan'!A:A,'JZ_BRAND SPLITS'!C13,'5 Year Supply Plan'!AZ:AZ)</f>
        <v>628285</v>
      </c>
      <c r="CQ13" s="35">
        <f t="shared" si="45"/>
        <v>132589.95221002994</v>
      </c>
      <c r="CR13" s="35">
        <f>SUMIF('5 Year Supply Plan'!A:A,'JZ_BRAND SPLITS'!C13,'5 Year Supply Plan'!BA:BA)</f>
        <v>708352</v>
      </c>
      <c r="CS13" s="35">
        <f t="shared" si="46"/>
        <v>149486.86953831324</v>
      </c>
      <c r="CT13" s="35">
        <f>SUMIF('5 Year Supply Plan'!A:A,'JZ_BRAND SPLITS'!C13,'5 Year Supply Plan'!BB:BB)</f>
        <v>606943</v>
      </c>
      <c r="CU13" s="35">
        <f t="shared" si="47"/>
        <v>128086.0491086246</v>
      </c>
      <c r="CV13" s="35">
        <f>SUMIF('5 Year Supply Plan'!A:A,'JZ_BRAND SPLITS'!C13,'5 Year Supply Plan'!BC:BC)</f>
        <v>692926</v>
      </c>
      <c r="CW13" s="35">
        <f t="shared" si="48"/>
        <v>146231.44787013411</v>
      </c>
      <c r="CX13" s="35">
        <f>SUMIF('5 Year Supply Plan'!A:A,'JZ_BRAND SPLITS'!C13,'5 Year Supply Plan'!BD:BD)</f>
        <v>708698</v>
      </c>
      <c r="CY13" s="35">
        <f t="shared" si="49"/>
        <v>149559.88755317061</v>
      </c>
      <c r="CZ13" s="35">
        <f>SUMIF('5 Year Supply Plan'!A:A,'JZ_BRAND SPLITS'!C13,'5 Year Supply Plan'!BE:BE)</f>
        <v>668755</v>
      </c>
      <c r="DA13" s="35">
        <f t="shared" si="50"/>
        <v>141130.5275316434</v>
      </c>
      <c r="DB13" s="35">
        <f>SUMIF('5 Year Supply Plan'!A:A,'JZ_BRAND SPLITS'!C13,'5 Year Supply Plan'!BF:BF)</f>
        <v>703607</v>
      </c>
      <c r="DC13" s="35">
        <f t="shared" si="51"/>
        <v>148485.50976808701</v>
      </c>
      <c r="DD13" s="35">
        <f>SUMIF('5 Year Supply Plan'!A:A,'JZ_BRAND SPLITS'!C13,'5 Year Supply Plan'!BG:BG)</f>
        <v>662336</v>
      </c>
      <c r="DE13" s="35">
        <f t="shared" si="52"/>
        <v>139775.89563173146</v>
      </c>
      <c r="DF13" s="35">
        <f>SUMIF('5 Year Supply Plan'!A:A,'JZ_BRAND SPLITS'!C13,'5 Year Supply Plan'!BH:BH)</f>
        <v>714368</v>
      </c>
      <c r="DG13" s="35">
        <f t="shared" si="53"/>
        <v>150756.45444404159</v>
      </c>
      <c r="DH13" s="35">
        <f>SUMIF('5 Year Supply Plan'!A:A,'JZ_BRAND SPLITS'!C13,'5 Year Supply Plan'!BI:BI)</f>
        <v>698262</v>
      </c>
      <c r="DI13" s="35">
        <f t="shared" si="54"/>
        <v>147357.52916284796</v>
      </c>
      <c r="DJ13" s="35">
        <f>SUMIF('5 Year Supply Plan'!A:A,'JZ_BRAND SPLITS'!C13,'5 Year Supply Plan'!BJ:BJ)</f>
        <v>660826</v>
      </c>
      <c r="DK13" s="35">
        <f t="shared" si="55"/>
        <v>139457.23319694924</v>
      </c>
      <c r="DL13" s="35">
        <f>SUMIF('5 Year Supply Plan'!A:A,'JZ_BRAND SPLITS'!C13,'5 Year Supply Plan'!BK:BK)</f>
        <v>639327</v>
      </c>
      <c r="DM13" s="35">
        <f t="shared" si="56"/>
        <v>134920.19764371554</v>
      </c>
      <c r="DN13" s="42">
        <f>SUMIF('5 Year Supply Plan'!A:A,'JZ_BRAND SPLITS'!C13,'5 Year Supply Plan'!BL:BL)</f>
        <v>659980</v>
      </c>
      <c r="DO13" s="35">
        <f t="shared" si="57"/>
        <v>139278.6978195812</v>
      </c>
      <c r="DP13" s="35">
        <f>SUMIF('5 Year Supply Plan'!A:A,'JZ_BRAND SPLITS'!C13,'5 Year Supply Plan'!BM:BM)</f>
        <v>682022.375</v>
      </c>
      <c r="DQ13" s="35">
        <f t="shared" si="58"/>
        <v>143930.40436652335</v>
      </c>
      <c r="DR13" s="35">
        <f>SUMIF('5 Year Supply Plan'!A:A,'JZ_BRAND SPLITS'!C13,'5 Year Supply Plan'!BN:BN)</f>
        <v>682022.375</v>
      </c>
      <c r="DS13" s="35">
        <f t="shared" si="59"/>
        <v>143930.40436652335</v>
      </c>
      <c r="DT13" s="39">
        <f t="shared" si="60"/>
        <v>7412785.8660228373</v>
      </c>
      <c r="DU13" s="36">
        <f>SUMIF('5 Year Supply Plan'!A:A,'JZ_BRAND SPLITS'!C13,'5 Year Supply Plan'!BO:BO)</f>
        <v>35125905.773437999</v>
      </c>
    </row>
    <row r="14" spans="1:125" x14ac:dyDescent="0.25">
      <c r="A14" s="40" t="s">
        <v>252</v>
      </c>
      <c r="B14" s="40" t="s">
        <v>246</v>
      </c>
      <c r="C14" s="40" t="s">
        <v>69</v>
      </c>
      <c r="D14" s="40" t="str">
        <f t="shared" si="0"/>
        <v>A02CAVANTI PLUS</v>
      </c>
      <c r="E14" s="41">
        <v>0.77265322942022852</v>
      </c>
      <c r="F14" s="35">
        <f>SUMIF('5 Year Supply Plan'!A:A,'JZ_BRAND SPLITS'!C14,'5 Year Supply Plan'!H:H)</f>
        <v>563176.734375</v>
      </c>
      <c r="G14" s="35">
        <f t="shared" si="1"/>
        <v>435140.32254918199</v>
      </c>
      <c r="H14" s="35">
        <f>SUMIF('5 Year Supply Plan'!A:A,'JZ_BRAND SPLITS'!C14,'5 Year Supply Plan'!I:I)</f>
        <v>676363.351563</v>
      </c>
      <c r="I14" s="35">
        <f t="shared" si="2"/>
        <v>522594.3278466413</v>
      </c>
      <c r="J14" s="35">
        <f>SUMIF('5 Year Supply Plan'!A:A,'JZ_BRAND SPLITS'!C14,'5 Year Supply Plan'!J:J)</f>
        <v>563719.9375</v>
      </c>
      <c r="K14" s="35">
        <f t="shared" si="3"/>
        <v>435560.03019794438</v>
      </c>
      <c r="L14" s="35">
        <f>SUMIF('5 Year Supply Plan'!A:A,'JZ_BRAND SPLITS'!C14,'5 Year Supply Plan'!K:K)</f>
        <v>512615</v>
      </c>
      <c r="M14" s="35">
        <f t="shared" si="4"/>
        <v>396073.63519925042</v>
      </c>
      <c r="N14" s="35">
        <f>SUMIF('5 Year Supply Plan'!A:A,'JZ_BRAND SPLITS'!C14,'5 Year Supply Plan'!L:L)</f>
        <v>483484</v>
      </c>
      <c r="O14" s="35">
        <f t="shared" si="5"/>
        <v>373565.47397300974</v>
      </c>
      <c r="P14" s="35">
        <f>SUMIF('5 Year Supply Plan'!A:A,'JZ_BRAND SPLITS'!C14,'5 Year Supply Plan'!M:M)</f>
        <v>511792</v>
      </c>
      <c r="Q14" s="35">
        <f t="shared" si="6"/>
        <v>395437.7415914376</v>
      </c>
      <c r="R14" s="35">
        <f>SUMIF('5 Year Supply Plan'!A:A,'JZ_BRAND SPLITS'!C14,'5 Year Supply Plan'!N:N)</f>
        <v>480492</v>
      </c>
      <c r="S14" s="35">
        <f t="shared" si="7"/>
        <v>371253.69551058445</v>
      </c>
      <c r="T14" s="35">
        <f>SUMIF('5 Year Supply Plan'!A:A,'JZ_BRAND SPLITS'!C14,'5 Year Supply Plan'!O:O)</f>
        <v>475448</v>
      </c>
      <c r="U14" s="35">
        <f t="shared" si="8"/>
        <v>367356.43262138881</v>
      </c>
      <c r="V14" s="35">
        <f>SUMIF('5 Year Supply Plan'!A:A,'JZ_BRAND SPLITS'!C14,'5 Year Supply Plan'!P:P)</f>
        <v>493730</v>
      </c>
      <c r="W14" s="35">
        <f t="shared" si="9"/>
        <v>381482.07896164944</v>
      </c>
      <c r="X14" s="35">
        <f>SUMIF('5 Year Supply Plan'!A:A,'JZ_BRAND SPLITS'!C14,'5 Year Supply Plan'!Q:Q)</f>
        <v>540517</v>
      </c>
      <c r="Y14" s="35">
        <f t="shared" si="10"/>
        <v>417632.20560653368</v>
      </c>
      <c r="Z14" s="35">
        <f>SUMIF('5 Year Supply Plan'!A:A,'JZ_BRAND SPLITS'!C14,'5 Year Supply Plan'!R:R)</f>
        <v>475766</v>
      </c>
      <c r="AA14" s="35">
        <f t="shared" si="11"/>
        <v>367602.13634834444</v>
      </c>
      <c r="AB14" s="35">
        <f>SUMIF('5 Year Supply Plan'!A:A,'JZ_BRAND SPLITS'!C14,'5 Year Supply Plan'!S:S)</f>
        <v>547931</v>
      </c>
      <c r="AC14" s="35">
        <f t="shared" si="12"/>
        <v>423360.65664945525</v>
      </c>
      <c r="AD14" s="35">
        <f>SUMIF('5 Year Supply Plan'!A:A,'JZ_BRAND SPLITS'!C14,'5 Year Supply Plan'!T:T)</f>
        <v>559087</v>
      </c>
      <c r="AE14" s="35">
        <f t="shared" si="13"/>
        <v>431980.37607686728</v>
      </c>
      <c r="AF14" s="35">
        <f>SUMIF('5 Year Supply Plan'!A:A,'JZ_BRAND SPLITS'!C14,'5 Year Supply Plan'!U:U)</f>
        <v>524750</v>
      </c>
      <c r="AG14" s="35">
        <f t="shared" si="14"/>
        <v>405449.78213826491</v>
      </c>
      <c r="AH14" s="35">
        <f>SUMIF('5 Year Supply Plan'!A:A,'JZ_BRAND SPLITS'!C14,'5 Year Supply Plan'!V:V)</f>
        <v>554431</v>
      </c>
      <c r="AI14" s="35">
        <f t="shared" si="15"/>
        <v>428382.90264068672</v>
      </c>
      <c r="AJ14" s="35">
        <f>SUMIF('5 Year Supply Plan'!A:A,'JZ_BRAND SPLITS'!C14,'5 Year Supply Plan'!W:W)</f>
        <v>525662</v>
      </c>
      <c r="AK14" s="35">
        <f t="shared" si="16"/>
        <v>406154.44188349618</v>
      </c>
      <c r="AL14" s="35">
        <f>SUMIF('5 Year Supply Plan'!A:A,'JZ_BRAND SPLITS'!C14,'5 Year Supply Plan'!X:X)</f>
        <v>564556</v>
      </c>
      <c r="AM14" s="35">
        <f t="shared" si="17"/>
        <v>436206.01658856653</v>
      </c>
      <c r="AN14" s="35">
        <f>SUMIF('5 Year Supply Plan'!A:A,'JZ_BRAND SPLITS'!C14,'5 Year Supply Plan'!Y:Y)</f>
        <v>549100</v>
      </c>
      <c r="AO14" s="35">
        <f t="shared" si="18"/>
        <v>424263.88827464747</v>
      </c>
      <c r="AP14" s="35">
        <f>SUMIF('5 Year Supply Plan'!A:A,'JZ_BRAND SPLITS'!C14,'5 Year Supply Plan'!Z:Z)</f>
        <v>493951</v>
      </c>
      <c r="AQ14" s="35">
        <f t="shared" si="19"/>
        <v>381652.83532535128</v>
      </c>
      <c r="AR14" s="35">
        <f>SUMIF('5 Year Supply Plan'!A:A,'JZ_BRAND SPLITS'!C14,'5 Year Supply Plan'!AA:AA)</f>
        <v>499570</v>
      </c>
      <c r="AS14" s="35">
        <f t="shared" si="20"/>
        <v>385994.37382146355</v>
      </c>
      <c r="AT14" s="35">
        <f>SUMIF('5 Year Supply Plan'!A:A,'JZ_BRAND SPLITS'!C14,'5 Year Supply Plan'!AB:AB)</f>
        <v>536652</v>
      </c>
      <c r="AU14" s="35">
        <f t="shared" si="21"/>
        <v>414645.9008748245</v>
      </c>
      <c r="AV14" s="35">
        <f>SUMIF('5 Year Supply Plan'!A:A,'JZ_BRAND SPLITS'!C14,'5 Year Supply Plan'!AC:AC)</f>
        <v>603150</v>
      </c>
      <c r="AW14" s="35">
        <f t="shared" si="22"/>
        <v>466025.79532481084</v>
      </c>
      <c r="AX14" s="35">
        <f>SUMIF('5 Year Supply Plan'!A:A,'JZ_BRAND SPLITS'!C14,'5 Year Supply Plan'!AD:AD)</f>
        <v>519690</v>
      </c>
      <c r="AY14" s="35">
        <f t="shared" si="23"/>
        <v>401540.15679739858</v>
      </c>
      <c r="AZ14" s="35">
        <f>SUMIF('5 Year Supply Plan'!A:A,'JZ_BRAND SPLITS'!C14,'5 Year Supply Plan'!AE:AE)</f>
        <v>594140</v>
      </c>
      <c r="BA14" s="35">
        <f t="shared" si="24"/>
        <v>459064.18972773454</v>
      </c>
      <c r="BB14" s="35">
        <f>SUMIF('5 Year Supply Plan'!A:A,'JZ_BRAND SPLITS'!C14,'5 Year Supply Plan'!AF:AF)</f>
        <v>606784</v>
      </c>
      <c r="BC14" s="35">
        <f t="shared" si="25"/>
        <v>468833.61716052395</v>
      </c>
      <c r="BD14" s="35">
        <f>SUMIF('5 Year Supply Plan'!A:A,'JZ_BRAND SPLITS'!C14,'5 Year Supply Plan'!AG:AG)</f>
        <v>570808</v>
      </c>
      <c r="BE14" s="35">
        <f t="shared" si="26"/>
        <v>441036.64457890182</v>
      </c>
      <c r="BF14" s="35">
        <f>SUMIF('5 Year Supply Plan'!A:A,'JZ_BRAND SPLITS'!C14,'5 Year Supply Plan'!AH:AH)</f>
        <v>602016</v>
      </c>
      <c r="BG14" s="35">
        <f t="shared" si="27"/>
        <v>465149.60656264832</v>
      </c>
      <c r="BH14" s="35">
        <f>SUMIF('5 Year Supply Plan'!A:A,'JZ_BRAND SPLITS'!C14,'5 Year Supply Plan'!AI:AI)</f>
        <v>569110</v>
      </c>
      <c r="BI14" s="35">
        <f t="shared" si="28"/>
        <v>439724.67939534626</v>
      </c>
      <c r="BJ14" s="35">
        <f>SUMIF('5 Year Supply Plan'!A:A,'JZ_BRAND SPLITS'!C14,'5 Year Supply Plan'!AJ:AJ)</f>
        <v>612307</v>
      </c>
      <c r="BK14" s="35">
        <f t="shared" si="29"/>
        <v>473100.98094661185</v>
      </c>
      <c r="BL14" s="35">
        <f>SUMIF('5 Year Supply Plan'!A:A,'JZ_BRAND SPLITS'!C14,'5 Year Supply Plan'!AK:AK)</f>
        <v>596015</v>
      </c>
      <c r="BM14" s="35">
        <f t="shared" si="30"/>
        <v>460512.91453289747</v>
      </c>
      <c r="BN14" s="35">
        <f>SUMIF('5 Year Supply Plan'!A:A,'JZ_BRAND SPLITS'!C14,'5 Year Supply Plan'!AL:AL)</f>
        <v>535369</v>
      </c>
      <c r="BO14" s="35">
        <f t="shared" si="31"/>
        <v>413654.58678147831</v>
      </c>
      <c r="BP14" s="35">
        <f>SUMIF('5 Year Supply Plan'!A:A,'JZ_BRAND SPLITS'!C14,'5 Year Supply Plan'!AM:AM)</f>
        <v>541992</v>
      </c>
      <c r="BQ14" s="35">
        <f t="shared" si="32"/>
        <v>418771.86911992851</v>
      </c>
      <c r="BR14" s="35">
        <f>SUMIF('5 Year Supply Plan'!A:A,'JZ_BRAND SPLITS'!C14,'5 Year Supply Plan'!AN:AN)</f>
        <v>585661</v>
      </c>
      <c r="BS14" s="35">
        <f t="shared" si="33"/>
        <v>452512.86299548048</v>
      </c>
      <c r="BT14" s="35">
        <f>SUMIF('5 Year Supply Plan'!A:A,'JZ_BRAND SPLITS'!C14,'5 Year Supply Plan'!AO:AO)</f>
        <v>661295</v>
      </c>
      <c r="BU14" s="35">
        <f t="shared" si="34"/>
        <v>510951.71734944999</v>
      </c>
      <c r="BV14" s="35">
        <f>SUMIF('5 Year Supply Plan'!A:A,'JZ_BRAND SPLITS'!C14,'5 Year Supply Plan'!AP:AP)</f>
        <v>568036</v>
      </c>
      <c r="BW14" s="35">
        <f t="shared" si="35"/>
        <v>438894.84982694895</v>
      </c>
      <c r="BX14" s="35">
        <f>SUMIF('5 Year Supply Plan'!A:A,'JZ_BRAND SPLITS'!C14,'5 Year Supply Plan'!AQ:AQ)</f>
        <v>648742</v>
      </c>
      <c r="BY14" s="35">
        <f t="shared" si="36"/>
        <v>501252.60136053787</v>
      </c>
      <c r="BZ14" s="35">
        <f>SUMIF('5 Year Supply Plan'!A:A,'JZ_BRAND SPLITS'!C14,'5 Year Supply Plan'!AR:AR)</f>
        <v>663107</v>
      </c>
      <c r="CA14" s="35">
        <f t="shared" si="37"/>
        <v>512351.76500115945</v>
      </c>
      <c r="CB14" s="35">
        <f>SUMIF('5 Year Supply Plan'!A:A,'JZ_BRAND SPLITS'!C14,'5 Year Supply Plan'!AS:AS)</f>
        <v>624999</v>
      </c>
      <c r="CC14" s="35">
        <f t="shared" si="38"/>
        <v>482907.49573441339</v>
      </c>
      <c r="CD14" s="35">
        <f>SUMIF('5 Year Supply Plan'!A:A,'JZ_BRAND SPLITS'!C14,'5 Year Supply Plan'!AT:AT)</f>
        <v>658341</v>
      </c>
      <c r="CE14" s="35">
        <f t="shared" si="39"/>
        <v>508669.29970974266</v>
      </c>
      <c r="CF14" s="35">
        <f>SUMIF('5 Year Supply Plan'!A:A,'JZ_BRAND SPLITS'!C14,'5 Year Supply Plan'!AU:AU)</f>
        <v>620716</v>
      </c>
      <c r="CG14" s="35">
        <f t="shared" si="40"/>
        <v>479598.22195280658</v>
      </c>
      <c r="CH14" s="35">
        <f>SUMIF('5 Year Supply Plan'!A:A,'JZ_BRAND SPLITS'!C14,'5 Year Supply Plan'!AV:AV)</f>
        <v>668885</v>
      </c>
      <c r="CI14" s="35">
        <f t="shared" si="41"/>
        <v>516816.15536074957</v>
      </c>
      <c r="CJ14" s="35">
        <f>SUMIF('5 Year Supply Plan'!A:A,'JZ_BRAND SPLITS'!C14,'5 Year Supply Plan'!AW:AW)</f>
        <v>651687</v>
      </c>
      <c r="CK14" s="35">
        <f t="shared" si="42"/>
        <v>503528.06512118044</v>
      </c>
      <c r="CL14" s="35">
        <f>SUMIF('5 Year Supply Plan'!A:A,'JZ_BRAND SPLITS'!C14,'5 Year Supply Plan'!AX:AX)</f>
        <v>588125</v>
      </c>
      <c r="CM14" s="35">
        <f t="shared" si="43"/>
        <v>454416.6805527719</v>
      </c>
      <c r="CN14" s="35">
        <f>SUMIF('5 Year Supply Plan'!A:A,'JZ_BRAND SPLITS'!C14,'5 Year Supply Plan'!AY:AY)</f>
        <v>585427</v>
      </c>
      <c r="CO14" s="35">
        <f t="shared" si="44"/>
        <v>452332.06213979609</v>
      </c>
      <c r="CP14" s="35">
        <f>SUMIF('5 Year Supply Plan'!A:A,'JZ_BRAND SPLITS'!C14,'5 Year Supply Plan'!AZ:AZ)</f>
        <v>628285</v>
      </c>
      <c r="CQ14" s="35">
        <f t="shared" si="45"/>
        <v>485446.43424628826</v>
      </c>
      <c r="CR14" s="35">
        <f>SUMIF('5 Year Supply Plan'!A:A,'JZ_BRAND SPLITS'!C14,'5 Year Supply Plan'!BA:BA)</f>
        <v>708352</v>
      </c>
      <c r="CS14" s="35">
        <f t="shared" si="46"/>
        <v>547310.46036627772</v>
      </c>
      <c r="CT14" s="35">
        <f>SUMIF('5 Year Supply Plan'!A:A,'JZ_BRAND SPLITS'!C14,'5 Year Supply Plan'!BB:BB)</f>
        <v>606943</v>
      </c>
      <c r="CU14" s="35">
        <f t="shared" si="47"/>
        <v>468956.46902400174</v>
      </c>
      <c r="CV14" s="35">
        <f>SUMIF('5 Year Supply Plan'!A:A,'JZ_BRAND SPLITS'!C14,'5 Year Supply Plan'!BC:BC)</f>
        <v>692926</v>
      </c>
      <c r="CW14" s="35">
        <f t="shared" si="48"/>
        <v>535391.51164924132</v>
      </c>
      <c r="CX14" s="35">
        <f>SUMIF('5 Year Supply Plan'!A:A,'JZ_BRAND SPLITS'!C14,'5 Year Supply Plan'!BD:BD)</f>
        <v>708698</v>
      </c>
      <c r="CY14" s="35">
        <f t="shared" si="49"/>
        <v>547577.79838365712</v>
      </c>
      <c r="CZ14" s="35">
        <f>SUMIF('5 Year Supply Plan'!A:A,'JZ_BRAND SPLITS'!C14,'5 Year Supply Plan'!BE:BE)</f>
        <v>668755</v>
      </c>
      <c r="DA14" s="35">
        <f t="shared" si="50"/>
        <v>516715.71044092492</v>
      </c>
      <c r="DB14" s="35">
        <f>SUMIF('5 Year Supply Plan'!A:A,'JZ_BRAND SPLITS'!C14,'5 Year Supply Plan'!BF:BF)</f>
        <v>703607</v>
      </c>
      <c r="DC14" s="35">
        <f t="shared" si="51"/>
        <v>543644.22079267877</v>
      </c>
      <c r="DD14" s="35">
        <f>SUMIF('5 Year Supply Plan'!A:A,'JZ_BRAND SPLITS'!C14,'5 Year Supply Plan'!BG:BG)</f>
        <v>662336</v>
      </c>
      <c r="DE14" s="35">
        <f t="shared" si="52"/>
        <v>511756.0493612765</v>
      </c>
      <c r="DF14" s="35">
        <f>SUMIF('5 Year Supply Plan'!A:A,'JZ_BRAND SPLITS'!C14,'5 Year Supply Plan'!BH:BH)</f>
        <v>714368</v>
      </c>
      <c r="DG14" s="35">
        <f t="shared" si="53"/>
        <v>551958.74219446979</v>
      </c>
      <c r="DH14" s="35">
        <f>SUMIF('5 Year Supply Plan'!A:A,'JZ_BRAND SPLITS'!C14,'5 Year Supply Plan'!BI:BI)</f>
        <v>698262</v>
      </c>
      <c r="DI14" s="35">
        <f t="shared" si="54"/>
        <v>539514.3892814276</v>
      </c>
      <c r="DJ14" s="35">
        <f>SUMIF('5 Year Supply Plan'!A:A,'JZ_BRAND SPLITS'!C14,'5 Year Supply Plan'!BJ:BJ)</f>
        <v>660826</v>
      </c>
      <c r="DK14" s="35">
        <f t="shared" si="55"/>
        <v>510589.34298485192</v>
      </c>
      <c r="DL14" s="35">
        <f>SUMIF('5 Year Supply Plan'!A:A,'JZ_BRAND SPLITS'!C14,'5 Year Supply Plan'!BK:BK)</f>
        <v>639327</v>
      </c>
      <c r="DM14" s="35">
        <f t="shared" si="56"/>
        <v>493978.07120554644</v>
      </c>
      <c r="DN14" s="42">
        <f>SUMIF('5 Year Supply Plan'!A:A,'JZ_BRAND SPLITS'!C14,'5 Year Supply Plan'!BL:BL)</f>
        <v>659980</v>
      </c>
      <c r="DO14" s="35">
        <f t="shared" si="57"/>
        <v>509935.67835276242</v>
      </c>
      <c r="DP14" s="35">
        <f>SUMIF('5 Year Supply Plan'!A:A,'JZ_BRAND SPLITS'!C14,'5 Year Supply Plan'!BM:BM)</f>
        <v>682022.375</v>
      </c>
      <c r="DQ14" s="35">
        <f t="shared" si="58"/>
        <v>526966.79058060411</v>
      </c>
      <c r="DR14" s="35">
        <f>SUMIF('5 Year Supply Plan'!A:A,'JZ_BRAND SPLITS'!C14,'5 Year Supply Plan'!BN:BN)</f>
        <v>682022.375</v>
      </c>
      <c r="DS14" s="35">
        <f t="shared" si="59"/>
        <v>526966.79058060411</v>
      </c>
      <c r="DT14" s="39">
        <f t="shared" si="60"/>
        <v>27140144.532157522</v>
      </c>
      <c r="DU14" s="36">
        <f>SUMIF('5 Year Supply Plan'!A:A,'JZ_BRAND SPLITS'!C14,'5 Year Supply Plan'!BO:BO)</f>
        <v>35125905.773437999</v>
      </c>
    </row>
    <row r="15" spans="1:125" x14ac:dyDescent="0.25">
      <c r="A15" s="40" t="s">
        <v>252</v>
      </c>
      <c r="B15" s="40" t="s">
        <v>246</v>
      </c>
      <c r="C15" s="40" t="s">
        <v>71</v>
      </c>
      <c r="D15" s="40" t="str">
        <f t="shared" si="0"/>
        <v>A02CBRITE TIP (MODIFIED)</v>
      </c>
      <c r="E15" s="41">
        <v>0.13142857142857142</v>
      </c>
      <c r="F15" s="35">
        <f>SUMIF('5 Year Supply Plan'!A:A,'JZ_BRAND SPLITS'!C15,'5 Year Supply Plan'!H:H)</f>
        <v>3.340271</v>
      </c>
      <c r="G15" s="35">
        <f t="shared" si="1"/>
        <v>0.43900704571428567</v>
      </c>
      <c r="H15" s="35">
        <f>SUMIF('5 Year Supply Plan'!A:A,'JZ_BRAND SPLITS'!C15,'5 Year Supply Plan'!I:I)</f>
        <v>5.3099540000000003</v>
      </c>
      <c r="I15" s="35">
        <f t="shared" si="2"/>
        <v>0.69787966857142858</v>
      </c>
      <c r="J15" s="35">
        <f>SUMIF('5 Year Supply Plan'!A:A,'JZ_BRAND SPLITS'!C15,'5 Year Supply Plan'!J:J)</f>
        <v>11.367846</v>
      </c>
      <c r="K15" s="35">
        <f t="shared" si="3"/>
        <v>1.4940597599999998</v>
      </c>
      <c r="L15" s="35">
        <f>SUMIF('5 Year Supply Plan'!A:A,'JZ_BRAND SPLITS'!C15,'5 Year Supply Plan'!K:K)</f>
        <v>0</v>
      </c>
      <c r="M15" s="35">
        <f t="shared" si="4"/>
        <v>0</v>
      </c>
      <c r="N15" s="35">
        <f>SUMIF('5 Year Supply Plan'!A:A,'JZ_BRAND SPLITS'!C15,'5 Year Supply Plan'!L:L)</f>
        <v>0</v>
      </c>
      <c r="O15" s="35">
        <f t="shared" si="5"/>
        <v>0</v>
      </c>
      <c r="P15" s="35">
        <f>SUMIF('5 Year Supply Plan'!A:A,'JZ_BRAND SPLITS'!C15,'5 Year Supply Plan'!M:M)</f>
        <v>0</v>
      </c>
      <c r="Q15" s="35">
        <f t="shared" si="6"/>
        <v>0</v>
      </c>
      <c r="R15" s="35">
        <f>SUMIF('5 Year Supply Plan'!A:A,'JZ_BRAND SPLITS'!C15,'5 Year Supply Plan'!N:N)</f>
        <v>0</v>
      </c>
      <c r="S15" s="35">
        <f t="shared" si="7"/>
        <v>0</v>
      </c>
      <c r="T15" s="35">
        <f>SUMIF('5 Year Supply Plan'!A:A,'JZ_BRAND SPLITS'!C15,'5 Year Supply Plan'!O:O)</f>
        <v>0</v>
      </c>
      <c r="U15" s="35">
        <f t="shared" si="8"/>
        <v>0</v>
      </c>
      <c r="V15" s="35">
        <f>SUMIF('5 Year Supply Plan'!A:A,'JZ_BRAND SPLITS'!C15,'5 Year Supply Plan'!P:P)</f>
        <v>0</v>
      </c>
      <c r="W15" s="35">
        <f t="shared" si="9"/>
        <v>0</v>
      </c>
      <c r="X15" s="35">
        <f>SUMIF('5 Year Supply Plan'!A:A,'JZ_BRAND SPLITS'!C15,'5 Year Supply Plan'!Q:Q)</f>
        <v>0</v>
      </c>
      <c r="Y15" s="35">
        <f t="shared" si="10"/>
        <v>0</v>
      </c>
      <c r="Z15" s="35">
        <f>SUMIF('5 Year Supply Plan'!A:A,'JZ_BRAND SPLITS'!C15,'5 Year Supply Plan'!R:R)</f>
        <v>0</v>
      </c>
      <c r="AA15" s="35">
        <f t="shared" si="11"/>
        <v>0</v>
      </c>
      <c r="AB15" s="35">
        <f>SUMIF('5 Year Supply Plan'!A:A,'JZ_BRAND SPLITS'!C15,'5 Year Supply Plan'!S:S)</f>
        <v>0</v>
      </c>
      <c r="AC15" s="35">
        <f t="shared" si="12"/>
        <v>0</v>
      </c>
      <c r="AD15" s="35">
        <f>SUMIF('5 Year Supply Plan'!A:A,'JZ_BRAND SPLITS'!C15,'5 Year Supply Plan'!T:T)</f>
        <v>0</v>
      </c>
      <c r="AE15" s="35">
        <f t="shared" si="13"/>
        <v>0</v>
      </c>
      <c r="AF15" s="35">
        <f>SUMIF('5 Year Supply Plan'!A:A,'JZ_BRAND SPLITS'!C15,'5 Year Supply Plan'!U:U)</f>
        <v>0</v>
      </c>
      <c r="AG15" s="35">
        <f t="shared" si="14"/>
        <v>0</v>
      </c>
      <c r="AH15" s="35">
        <f>SUMIF('5 Year Supply Plan'!A:A,'JZ_BRAND SPLITS'!C15,'5 Year Supply Plan'!V:V)</f>
        <v>0</v>
      </c>
      <c r="AI15" s="35">
        <f t="shared" si="15"/>
        <v>0</v>
      </c>
      <c r="AJ15" s="35">
        <f>SUMIF('5 Year Supply Plan'!A:A,'JZ_BRAND SPLITS'!C15,'5 Year Supply Plan'!W:W)</f>
        <v>0</v>
      </c>
      <c r="AK15" s="35">
        <f t="shared" si="16"/>
        <v>0</v>
      </c>
      <c r="AL15" s="35">
        <f>SUMIF('5 Year Supply Plan'!A:A,'JZ_BRAND SPLITS'!C15,'5 Year Supply Plan'!X:X)</f>
        <v>0</v>
      </c>
      <c r="AM15" s="35">
        <f t="shared" si="17"/>
        <v>0</v>
      </c>
      <c r="AN15" s="35">
        <f>SUMIF('5 Year Supply Plan'!A:A,'JZ_BRAND SPLITS'!C15,'5 Year Supply Plan'!Y:Y)</f>
        <v>0</v>
      </c>
      <c r="AO15" s="35">
        <f t="shared" si="18"/>
        <v>0</v>
      </c>
      <c r="AP15" s="35">
        <f>SUMIF('5 Year Supply Plan'!A:A,'JZ_BRAND SPLITS'!C15,'5 Year Supply Plan'!Z:Z)</f>
        <v>0</v>
      </c>
      <c r="AQ15" s="35">
        <f t="shared" si="19"/>
        <v>0</v>
      </c>
      <c r="AR15" s="35">
        <f>SUMIF('5 Year Supply Plan'!A:A,'JZ_BRAND SPLITS'!C15,'5 Year Supply Plan'!AA:AA)</f>
        <v>0</v>
      </c>
      <c r="AS15" s="35">
        <f t="shared" si="20"/>
        <v>0</v>
      </c>
      <c r="AT15" s="35">
        <f>SUMIF('5 Year Supply Plan'!A:A,'JZ_BRAND SPLITS'!C15,'5 Year Supply Plan'!AB:AB)</f>
        <v>0</v>
      </c>
      <c r="AU15" s="35">
        <f t="shared" si="21"/>
        <v>0</v>
      </c>
      <c r="AV15" s="35">
        <f>SUMIF('5 Year Supply Plan'!A:A,'JZ_BRAND SPLITS'!C15,'5 Year Supply Plan'!AC:AC)</f>
        <v>0</v>
      </c>
      <c r="AW15" s="35">
        <f t="shared" si="22"/>
        <v>0</v>
      </c>
      <c r="AX15" s="35">
        <f>SUMIF('5 Year Supply Plan'!A:A,'JZ_BRAND SPLITS'!C15,'5 Year Supply Plan'!AD:AD)</f>
        <v>0</v>
      </c>
      <c r="AY15" s="35">
        <f t="shared" si="23"/>
        <v>0</v>
      </c>
      <c r="AZ15" s="35">
        <f>SUMIF('5 Year Supply Plan'!A:A,'JZ_BRAND SPLITS'!C15,'5 Year Supply Plan'!AE:AE)</f>
        <v>0</v>
      </c>
      <c r="BA15" s="35">
        <f t="shared" si="24"/>
        <v>0</v>
      </c>
      <c r="BB15" s="35">
        <f>SUMIF('5 Year Supply Plan'!A:A,'JZ_BRAND SPLITS'!C15,'5 Year Supply Plan'!AF:AF)</f>
        <v>0</v>
      </c>
      <c r="BC15" s="35">
        <f t="shared" si="25"/>
        <v>0</v>
      </c>
      <c r="BD15" s="35">
        <f>SUMIF('5 Year Supply Plan'!A:A,'JZ_BRAND SPLITS'!C15,'5 Year Supply Plan'!AG:AG)</f>
        <v>0</v>
      </c>
      <c r="BE15" s="35">
        <f t="shared" si="26"/>
        <v>0</v>
      </c>
      <c r="BF15" s="35">
        <f>SUMIF('5 Year Supply Plan'!A:A,'JZ_BRAND SPLITS'!C15,'5 Year Supply Plan'!AH:AH)</f>
        <v>0</v>
      </c>
      <c r="BG15" s="35">
        <f t="shared" si="27"/>
        <v>0</v>
      </c>
      <c r="BH15" s="35">
        <f>SUMIF('5 Year Supply Plan'!A:A,'JZ_BRAND SPLITS'!C15,'5 Year Supply Plan'!AI:AI)</f>
        <v>0</v>
      </c>
      <c r="BI15" s="35">
        <f t="shared" si="28"/>
        <v>0</v>
      </c>
      <c r="BJ15" s="35">
        <f>SUMIF('5 Year Supply Plan'!A:A,'JZ_BRAND SPLITS'!C15,'5 Year Supply Plan'!AJ:AJ)</f>
        <v>0</v>
      </c>
      <c r="BK15" s="35">
        <f t="shared" si="29"/>
        <v>0</v>
      </c>
      <c r="BL15" s="35">
        <f>SUMIF('5 Year Supply Plan'!A:A,'JZ_BRAND SPLITS'!C15,'5 Year Supply Plan'!AK:AK)</f>
        <v>0</v>
      </c>
      <c r="BM15" s="35">
        <f t="shared" si="30"/>
        <v>0</v>
      </c>
      <c r="BN15" s="35">
        <f>SUMIF('5 Year Supply Plan'!A:A,'JZ_BRAND SPLITS'!C15,'5 Year Supply Plan'!AL:AL)</f>
        <v>0</v>
      </c>
      <c r="BO15" s="35">
        <f t="shared" si="31"/>
        <v>0</v>
      </c>
      <c r="BP15" s="35">
        <f>SUMIF('5 Year Supply Plan'!A:A,'JZ_BRAND SPLITS'!C15,'5 Year Supply Plan'!AM:AM)</f>
        <v>0</v>
      </c>
      <c r="BQ15" s="35">
        <f t="shared" si="32"/>
        <v>0</v>
      </c>
      <c r="BR15" s="35">
        <f>SUMIF('5 Year Supply Plan'!A:A,'JZ_BRAND SPLITS'!C15,'5 Year Supply Plan'!AN:AN)</f>
        <v>0</v>
      </c>
      <c r="BS15" s="35">
        <f t="shared" si="33"/>
        <v>0</v>
      </c>
      <c r="BT15" s="35">
        <f>SUMIF('5 Year Supply Plan'!A:A,'JZ_BRAND SPLITS'!C15,'5 Year Supply Plan'!AO:AO)</f>
        <v>0</v>
      </c>
      <c r="BU15" s="35">
        <f t="shared" si="34"/>
        <v>0</v>
      </c>
      <c r="BV15" s="35">
        <f>SUMIF('5 Year Supply Plan'!A:A,'JZ_BRAND SPLITS'!C15,'5 Year Supply Plan'!AP:AP)</f>
        <v>0</v>
      </c>
      <c r="BW15" s="35">
        <f t="shared" si="35"/>
        <v>0</v>
      </c>
      <c r="BX15" s="35">
        <f>SUMIF('5 Year Supply Plan'!A:A,'JZ_BRAND SPLITS'!C15,'5 Year Supply Plan'!AQ:AQ)</f>
        <v>0</v>
      </c>
      <c r="BY15" s="35">
        <f t="shared" si="36"/>
        <v>0</v>
      </c>
      <c r="BZ15" s="35">
        <f>SUMIF('5 Year Supply Plan'!A:A,'JZ_BRAND SPLITS'!C15,'5 Year Supply Plan'!AR:AR)</f>
        <v>0</v>
      </c>
      <c r="CA15" s="35">
        <f t="shared" si="37"/>
        <v>0</v>
      </c>
      <c r="CB15" s="35">
        <f>SUMIF('5 Year Supply Plan'!A:A,'JZ_BRAND SPLITS'!C15,'5 Year Supply Plan'!AS:AS)</f>
        <v>0</v>
      </c>
      <c r="CC15" s="35">
        <f t="shared" si="38"/>
        <v>0</v>
      </c>
      <c r="CD15" s="35">
        <f>SUMIF('5 Year Supply Plan'!A:A,'JZ_BRAND SPLITS'!C15,'5 Year Supply Plan'!AT:AT)</f>
        <v>0</v>
      </c>
      <c r="CE15" s="35">
        <f t="shared" si="39"/>
        <v>0</v>
      </c>
      <c r="CF15" s="35">
        <f>SUMIF('5 Year Supply Plan'!A:A,'JZ_BRAND SPLITS'!C15,'5 Year Supply Plan'!AU:AU)</f>
        <v>0</v>
      </c>
      <c r="CG15" s="35">
        <f t="shared" si="40"/>
        <v>0</v>
      </c>
      <c r="CH15" s="35">
        <f>SUMIF('5 Year Supply Plan'!A:A,'JZ_BRAND SPLITS'!C15,'5 Year Supply Plan'!AV:AV)</f>
        <v>0</v>
      </c>
      <c r="CI15" s="35">
        <f t="shared" si="41"/>
        <v>0</v>
      </c>
      <c r="CJ15" s="35">
        <f>SUMIF('5 Year Supply Plan'!A:A,'JZ_BRAND SPLITS'!C15,'5 Year Supply Plan'!AW:AW)</f>
        <v>0</v>
      </c>
      <c r="CK15" s="35">
        <f t="shared" si="42"/>
        <v>0</v>
      </c>
      <c r="CL15" s="35">
        <f>SUMIF('5 Year Supply Plan'!A:A,'JZ_BRAND SPLITS'!C15,'5 Year Supply Plan'!AX:AX)</f>
        <v>0</v>
      </c>
      <c r="CM15" s="35">
        <f t="shared" si="43"/>
        <v>0</v>
      </c>
      <c r="CN15" s="35">
        <f>SUMIF('5 Year Supply Plan'!A:A,'JZ_BRAND SPLITS'!C15,'5 Year Supply Plan'!AY:AY)</f>
        <v>0</v>
      </c>
      <c r="CO15" s="35">
        <f t="shared" si="44"/>
        <v>0</v>
      </c>
      <c r="CP15" s="35">
        <f>SUMIF('5 Year Supply Plan'!A:A,'JZ_BRAND SPLITS'!C15,'5 Year Supply Plan'!AZ:AZ)</f>
        <v>0</v>
      </c>
      <c r="CQ15" s="35">
        <f t="shared" si="45"/>
        <v>0</v>
      </c>
      <c r="CR15" s="35">
        <f>SUMIF('5 Year Supply Plan'!A:A,'JZ_BRAND SPLITS'!C15,'5 Year Supply Plan'!BA:BA)</f>
        <v>0</v>
      </c>
      <c r="CS15" s="35">
        <f t="shared" si="46"/>
        <v>0</v>
      </c>
      <c r="CT15" s="35">
        <f>SUMIF('5 Year Supply Plan'!A:A,'JZ_BRAND SPLITS'!C15,'5 Year Supply Plan'!BB:BB)</f>
        <v>0</v>
      </c>
      <c r="CU15" s="35">
        <f t="shared" si="47"/>
        <v>0</v>
      </c>
      <c r="CV15" s="35">
        <f>SUMIF('5 Year Supply Plan'!A:A,'JZ_BRAND SPLITS'!C15,'5 Year Supply Plan'!BC:BC)</f>
        <v>0</v>
      </c>
      <c r="CW15" s="35">
        <f t="shared" si="48"/>
        <v>0</v>
      </c>
      <c r="CX15" s="35">
        <f>SUMIF('5 Year Supply Plan'!A:A,'JZ_BRAND SPLITS'!C15,'5 Year Supply Plan'!BD:BD)</f>
        <v>0</v>
      </c>
      <c r="CY15" s="35">
        <f t="shared" si="49"/>
        <v>0</v>
      </c>
      <c r="CZ15" s="35">
        <f>SUMIF('5 Year Supply Plan'!A:A,'JZ_BRAND SPLITS'!C15,'5 Year Supply Plan'!BE:BE)</f>
        <v>0</v>
      </c>
      <c r="DA15" s="35">
        <f t="shared" si="50"/>
        <v>0</v>
      </c>
      <c r="DB15" s="35">
        <f>SUMIF('5 Year Supply Plan'!A:A,'JZ_BRAND SPLITS'!C15,'5 Year Supply Plan'!BF:BF)</f>
        <v>0</v>
      </c>
      <c r="DC15" s="35">
        <f t="shared" si="51"/>
        <v>0</v>
      </c>
      <c r="DD15" s="35">
        <f>SUMIF('5 Year Supply Plan'!A:A,'JZ_BRAND SPLITS'!C15,'5 Year Supply Plan'!BG:BG)</f>
        <v>0</v>
      </c>
      <c r="DE15" s="35">
        <f t="shared" si="52"/>
        <v>0</v>
      </c>
      <c r="DF15" s="35">
        <f>SUMIF('5 Year Supply Plan'!A:A,'JZ_BRAND SPLITS'!C15,'5 Year Supply Plan'!BH:BH)</f>
        <v>0</v>
      </c>
      <c r="DG15" s="35">
        <f t="shared" si="53"/>
        <v>0</v>
      </c>
      <c r="DH15" s="35">
        <f>SUMIF('5 Year Supply Plan'!A:A,'JZ_BRAND SPLITS'!C15,'5 Year Supply Plan'!BI:BI)</f>
        <v>0</v>
      </c>
      <c r="DI15" s="35">
        <f t="shared" si="54"/>
        <v>0</v>
      </c>
      <c r="DJ15" s="35">
        <f>SUMIF('5 Year Supply Plan'!A:A,'JZ_BRAND SPLITS'!C15,'5 Year Supply Plan'!BJ:BJ)</f>
        <v>0</v>
      </c>
      <c r="DK15" s="35">
        <f t="shared" si="55"/>
        <v>0</v>
      </c>
      <c r="DL15" s="35">
        <f>SUMIF('5 Year Supply Plan'!A:A,'JZ_BRAND SPLITS'!C15,'5 Year Supply Plan'!BK:BK)</f>
        <v>0</v>
      </c>
      <c r="DM15" s="35">
        <f t="shared" si="56"/>
        <v>0</v>
      </c>
      <c r="DN15" s="42">
        <f>SUMIF('5 Year Supply Plan'!A:A,'JZ_BRAND SPLITS'!C15,'5 Year Supply Plan'!BL:BL)</f>
        <v>0</v>
      </c>
      <c r="DO15" s="35">
        <f t="shared" si="57"/>
        <v>0</v>
      </c>
      <c r="DP15" s="35">
        <f>SUMIF('5 Year Supply Plan'!A:A,'JZ_BRAND SPLITS'!C15,'5 Year Supply Plan'!BM:BM)</f>
        <v>0</v>
      </c>
      <c r="DQ15" s="35">
        <f t="shared" si="58"/>
        <v>0</v>
      </c>
      <c r="DR15" s="35">
        <f>SUMIF('5 Year Supply Plan'!A:A,'JZ_BRAND SPLITS'!C15,'5 Year Supply Plan'!BN:BN)</f>
        <v>0</v>
      </c>
      <c r="DS15" s="35">
        <f t="shared" si="59"/>
        <v>0</v>
      </c>
      <c r="DT15" s="39">
        <f t="shared" si="60"/>
        <v>2.6309464742857145</v>
      </c>
      <c r="DU15" s="36">
        <f>SUMIF('5 Year Supply Plan'!A:A,'JZ_BRAND SPLITS'!C15,'5 Year Supply Plan'!BO:BO)</f>
        <v>20.018070999999999</v>
      </c>
    </row>
    <row r="16" spans="1:125" x14ac:dyDescent="0.25">
      <c r="A16" s="40" t="s">
        <v>253</v>
      </c>
      <c r="B16" s="40" t="s">
        <v>246</v>
      </c>
      <c r="C16" s="40" t="s">
        <v>95</v>
      </c>
      <c r="D16" s="40" t="str">
        <f t="shared" si="0"/>
        <v>A02DRAIN Sheath Transradial</v>
      </c>
      <c r="E16" s="41">
        <v>1</v>
      </c>
      <c r="F16" s="35">
        <f>SUMIF('5 Year Supply Plan'!A:A,'JZ_BRAND SPLITS'!C16,'5 Year Supply Plan'!H:H)</f>
        <v>35770.390625</v>
      </c>
      <c r="G16" s="35">
        <f t="shared" si="1"/>
        <v>35770.390625</v>
      </c>
      <c r="H16" s="35">
        <f>SUMIF('5 Year Supply Plan'!A:A,'JZ_BRAND SPLITS'!C16,'5 Year Supply Plan'!I:I)</f>
        <v>42466.046875</v>
      </c>
      <c r="I16" s="35">
        <f t="shared" si="2"/>
        <v>42466.046875</v>
      </c>
      <c r="J16" s="35">
        <f>SUMIF('5 Year Supply Plan'!A:A,'JZ_BRAND SPLITS'!C16,'5 Year Supply Plan'!J:J)</f>
        <v>35354.445312999997</v>
      </c>
      <c r="K16" s="35">
        <f t="shared" si="3"/>
        <v>35354.445312999997</v>
      </c>
      <c r="L16" s="35">
        <f>SUMIF('5 Year Supply Plan'!A:A,'JZ_BRAND SPLITS'!C16,'5 Year Supply Plan'!K:K)</f>
        <v>21284</v>
      </c>
      <c r="M16" s="35">
        <f t="shared" si="4"/>
        <v>21284</v>
      </c>
      <c r="N16" s="35">
        <f>SUMIF('5 Year Supply Plan'!A:A,'JZ_BRAND SPLITS'!C16,'5 Year Supply Plan'!L:L)</f>
        <v>13934</v>
      </c>
      <c r="O16" s="35">
        <f t="shared" si="5"/>
        <v>13934</v>
      </c>
      <c r="P16" s="35">
        <f>SUMIF('5 Year Supply Plan'!A:A,'JZ_BRAND SPLITS'!C16,'5 Year Supply Plan'!M:M)</f>
        <v>23171</v>
      </c>
      <c r="Q16" s="35">
        <f t="shared" si="6"/>
        <v>23171</v>
      </c>
      <c r="R16" s="35">
        <f>SUMIF('5 Year Supply Plan'!A:A,'JZ_BRAND SPLITS'!C16,'5 Year Supply Plan'!N:N)</f>
        <v>23508</v>
      </c>
      <c r="S16" s="35">
        <f t="shared" si="7"/>
        <v>23508</v>
      </c>
      <c r="T16" s="35">
        <f>SUMIF('5 Year Supply Plan'!A:A,'JZ_BRAND SPLITS'!C16,'5 Year Supply Plan'!O:O)</f>
        <v>23891</v>
      </c>
      <c r="U16" s="35">
        <f t="shared" si="8"/>
        <v>23891</v>
      </c>
      <c r="V16" s="35">
        <f>SUMIF('5 Year Supply Plan'!A:A,'JZ_BRAND SPLITS'!C16,'5 Year Supply Plan'!P:P)</f>
        <v>22797</v>
      </c>
      <c r="W16" s="35">
        <f t="shared" si="9"/>
        <v>22797</v>
      </c>
      <c r="X16" s="35">
        <f>SUMIF('5 Year Supply Plan'!A:A,'JZ_BRAND SPLITS'!C16,'5 Year Supply Plan'!Q:Q)</f>
        <v>23158</v>
      </c>
      <c r="Y16" s="35">
        <f t="shared" si="10"/>
        <v>23158</v>
      </c>
      <c r="Z16" s="35">
        <f>SUMIF('5 Year Supply Plan'!A:A,'JZ_BRAND SPLITS'!C16,'5 Year Supply Plan'!R:R)</f>
        <v>22742</v>
      </c>
      <c r="AA16" s="35">
        <f t="shared" si="11"/>
        <v>22742</v>
      </c>
      <c r="AB16" s="35">
        <f>SUMIF('5 Year Supply Plan'!A:A,'JZ_BRAND SPLITS'!C16,'5 Year Supply Plan'!S:S)</f>
        <v>27835</v>
      </c>
      <c r="AC16" s="35">
        <f t="shared" si="12"/>
        <v>27835</v>
      </c>
      <c r="AD16" s="35">
        <f>SUMIF('5 Year Supply Plan'!A:A,'JZ_BRAND SPLITS'!C16,'5 Year Supply Plan'!T:T)</f>
        <v>27568</v>
      </c>
      <c r="AE16" s="35">
        <f t="shared" si="13"/>
        <v>27568</v>
      </c>
      <c r="AF16" s="35">
        <f>SUMIF('5 Year Supply Plan'!A:A,'JZ_BRAND SPLITS'!C16,'5 Year Supply Plan'!U:U)</f>
        <v>24804</v>
      </c>
      <c r="AG16" s="35">
        <f t="shared" si="14"/>
        <v>24804</v>
      </c>
      <c r="AH16" s="35">
        <f>SUMIF('5 Year Supply Plan'!A:A,'JZ_BRAND SPLITS'!C16,'5 Year Supply Plan'!V:V)</f>
        <v>26653</v>
      </c>
      <c r="AI16" s="35">
        <f t="shared" si="15"/>
        <v>26653</v>
      </c>
      <c r="AJ16" s="35">
        <f>SUMIF('5 Year Supply Plan'!A:A,'JZ_BRAND SPLITS'!C16,'5 Year Supply Plan'!W:W)</f>
        <v>26560</v>
      </c>
      <c r="AK16" s="35">
        <f t="shared" si="16"/>
        <v>26560</v>
      </c>
      <c r="AL16" s="35">
        <f>SUMIF('5 Year Supply Plan'!A:A,'JZ_BRAND SPLITS'!C16,'5 Year Supply Plan'!X:X)</f>
        <v>29468</v>
      </c>
      <c r="AM16" s="35">
        <f t="shared" si="17"/>
        <v>29468</v>
      </c>
      <c r="AN16" s="35">
        <f>SUMIF('5 Year Supply Plan'!A:A,'JZ_BRAND SPLITS'!C16,'5 Year Supply Plan'!Y:Y)</f>
        <v>28679</v>
      </c>
      <c r="AO16" s="35">
        <f t="shared" si="18"/>
        <v>28679</v>
      </c>
      <c r="AP16" s="35">
        <f>SUMIF('5 Year Supply Plan'!A:A,'JZ_BRAND SPLITS'!C16,'5 Year Supply Plan'!Z:Z)</f>
        <v>27692</v>
      </c>
      <c r="AQ16" s="35">
        <f t="shared" si="19"/>
        <v>27692</v>
      </c>
      <c r="AR16" s="35">
        <f>SUMIF('5 Year Supply Plan'!A:A,'JZ_BRAND SPLITS'!C16,'5 Year Supply Plan'!AA:AA)</f>
        <v>29657</v>
      </c>
      <c r="AS16" s="35">
        <f t="shared" si="20"/>
        <v>29657</v>
      </c>
      <c r="AT16" s="35">
        <f>SUMIF('5 Year Supply Plan'!A:A,'JZ_BRAND SPLITS'!C16,'5 Year Supply Plan'!AB:AB)</f>
        <v>28496</v>
      </c>
      <c r="AU16" s="35">
        <f t="shared" si="21"/>
        <v>28496</v>
      </c>
      <c r="AV16" s="35">
        <f>SUMIF('5 Year Supply Plan'!A:A,'JZ_BRAND SPLITS'!C16,'5 Year Supply Plan'!AC:AC)</f>
        <v>25340</v>
      </c>
      <c r="AW16" s="35">
        <f t="shared" si="22"/>
        <v>25340</v>
      </c>
      <c r="AX16" s="35">
        <f>SUMIF('5 Year Supply Plan'!A:A,'JZ_BRAND SPLITS'!C16,'5 Year Supply Plan'!AD:AD)</f>
        <v>23803</v>
      </c>
      <c r="AY16" s="35">
        <f t="shared" si="23"/>
        <v>23803</v>
      </c>
      <c r="AZ16" s="35">
        <f>SUMIF('5 Year Supply Plan'!A:A,'JZ_BRAND SPLITS'!C16,'5 Year Supply Plan'!AE:AE)</f>
        <v>29177</v>
      </c>
      <c r="BA16" s="35">
        <f t="shared" si="24"/>
        <v>29177</v>
      </c>
      <c r="BB16" s="35">
        <f>SUMIF('5 Year Supply Plan'!A:A,'JZ_BRAND SPLITS'!C16,'5 Year Supply Plan'!AF:AF)</f>
        <v>28870</v>
      </c>
      <c r="BC16" s="35">
        <f t="shared" si="25"/>
        <v>28870</v>
      </c>
      <c r="BD16" s="35">
        <f>SUMIF('5 Year Supply Plan'!A:A,'JZ_BRAND SPLITS'!C16,'5 Year Supply Plan'!AG:AG)</f>
        <v>25987</v>
      </c>
      <c r="BE16" s="35">
        <f t="shared" si="26"/>
        <v>25987</v>
      </c>
      <c r="BF16" s="35">
        <f>SUMIF('5 Year Supply Plan'!A:A,'JZ_BRAND SPLITS'!C16,'5 Year Supply Plan'!AH:AH)</f>
        <v>27883</v>
      </c>
      <c r="BG16" s="35">
        <f t="shared" si="27"/>
        <v>27883</v>
      </c>
      <c r="BH16" s="35">
        <f>SUMIF('5 Year Supply Plan'!A:A,'JZ_BRAND SPLITS'!C16,'5 Year Supply Plan'!AI:AI)</f>
        <v>27797</v>
      </c>
      <c r="BI16" s="35">
        <f t="shared" si="28"/>
        <v>27797</v>
      </c>
      <c r="BJ16" s="35">
        <f>SUMIF('5 Year Supply Plan'!A:A,'JZ_BRAND SPLITS'!C16,'5 Year Supply Plan'!AJ:AJ)</f>
        <v>30823</v>
      </c>
      <c r="BK16" s="35">
        <f t="shared" si="29"/>
        <v>30823</v>
      </c>
      <c r="BL16" s="35">
        <f>SUMIF('5 Year Supply Plan'!A:A,'JZ_BRAND SPLITS'!C16,'5 Year Supply Plan'!AK:AK)</f>
        <v>29961</v>
      </c>
      <c r="BM16" s="35">
        <f t="shared" si="30"/>
        <v>29961</v>
      </c>
      <c r="BN16" s="35">
        <f>SUMIF('5 Year Supply Plan'!A:A,'JZ_BRAND SPLITS'!C16,'5 Year Supply Plan'!AL:AL)</f>
        <v>28913</v>
      </c>
      <c r="BO16" s="35">
        <f t="shared" si="31"/>
        <v>28913</v>
      </c>
      <c r="BP16" s="35">
        <f>SUMIF('5 Year Supply Plan'!A:A,'JZ_BRAND SPLITS'!C16,'5 Year Supply Plan'!AM:AM)</f>
        <v>31082</v>
      </c>
      <c r="BQ16" s="35">
        <f t="shared" si="32"/>
        <v>31082</v>
      </c>
      <c r="BR16" s="35">
        <f>SUMIF('5 Year Supply Plan'!A:A,'JZ_BRAND SPLITS'!C16,'5 Year Supply Plan'!AN:AN)</f>
        <v>30018</v>
      </c>
      <c r="BS16" s="35">
        <f t="shared" si="33"/>
        <v>30018</v>
      </c>
      <c r="BT16" s="35">
        <f>SUMIF('5 Year Supply Plan'!A:A,'JZ_BRAND SPLITS'!C16,'5 Year Supply Plan'!AO:AO)</f>
        <v>26612</v>
      </c>
      <c r="BU16" s="35">
        <f t="shared" si="34"/>
        <v>26612</v>
      </c>
      <c r="BV16" s="35">
        <f>SUMIF('5 Year Supply Plan'!A:A,'JZ_BRAND SPLITS'!C16,'5 Year Supply Plan'!AP:AP)</f>
        <v>24972</v>
      </c>
      <c r="BW16" s="35">
        <f t="shared" si="35"/>
        <v>24972</v>
      </c>
      <c r="BX16" s="35">
        <f>SUMIF('5 Year Supply Plan'!A:A,'JZ_BRAND SPLITS'!C16,'5 Year Supply Plan'!AQ:AQ)</f>
        <v>30636</v>
      </c>
      <c r="BY16" s="35">
        <f t="shared" si="36"/>
        <v>30636</v>
      </c>
      <c r="BZ16" s="35">
        <f>SUMIF('5 Year Supply Plan'!A:A,'JZ_BRAND SPLITS'!C16,'5 Year Supply Plan'!AR:AR)</f>
        <v>30294</v>
      </c>
      <c r="CA16" s="35">
        <f t="shared" si="37"/>
        <v>30294</v>
      </c>
      <c r="CB16" s="35">
        <f>SUMIF('5 Year Supply Plan'!A:A,'JZ_BRAND SPLITS'!C16,'5 Year Supply Plan'!AS:AS)</f>
        <v>27275</v>
      </c>
      <c r="CC16" s="35">
        <f t="shared" si="38"/>
        <v>27275</v>
      </c>
      <c r="CD16" s="35">
        <f>SUMIF('5 Year Supply Plan'!A:A,'JZ_BRAND SPLITS'!C16,'5 Year Supply Plan'!AT:AT)</f>
        <v>29244</v>
      </c>
      <c r="CE16" s="35">
        <f t="shared" si="39"/>
        <v>29244</v>
      </c>
      <c r="CF16" s="35">
        <f>SUMIF('5 Year Supply Plan'!A:A,'JZ_BRAND SPLITS'!C16,'5 Year Supply Plan'!AU:AU)</f>
        <v>29158</v>
      </c>
      <c r="CG16" s="35">
        <f t="shared" si="40"/>
        <v>29158</v>
      </c>
      <c r="CH16" s="35">
        <f>SUMIF('5 Year Supply Plan'!A:A,'JZ_BRAND SPLITS'!C16,'5 Year Supply Plan'!AV:AV)</f>
        <v>32324</v>
      </c>
      <c r="CI16" s="35">
        <f t="shared" si="41"/>
        <v>32324</v>
      </c>
      <c r="CJ16" s="35">
        <f>SUMIF('5 Year Supply Plan'!A:A,'JZ_BRAND SPLITS'!C16,'5 Year Supply Plan'!AW:AW)</f>
        <v>31404</v>
      </c>
      <c r="CK16" s="35">
        <f t="shared" si="42"/>
        <v>31404</v>
      </c>
      <c r="CL16" s="35">
        <f>SUMIF('5 Year Supply Plan'!A:A,'JZ_BRAND SPLITS'!C16,'5 Year Supply Plan'!AX:AX)</f>
        <v>30304</v>
      </c>
      <c r="CM16" s="35">
        <f t="shared" si="43"/>
        <v>30304</v>
      </c>
      <c r="CN16" s="35">
        <f>SUMIF('5 Year Supply Plan'!A:A,'JZ_BRAND SPLITS'!C16,'5 Year Supply Plan'!AY:AY)</f>
        <v>32720</v>
      </c>
      <c r="CO16" s="35">
        <f t="shared" si="44"/>
        <v>32720</v>
      </c>
      <c r="CP16" s="35">
        <f>SUMIF('5 Year Supply Plan'!A:A,'JZ_BRAND SPLITS'!C16,'5 Year Supply Plan'!AZ:AZ)</f>
        <v>31912</v>
      </c>
      <c r="CQ16" s="35">
        <f t="shared" si="45"/>
        <v>31912</v>
      </c>
      <c r="CR16" s="35">
        <f>SUMIF('5 Year Supply Plan'!A:A,'JZ_BRAND SPLITS'!C16,'5 Year Supply Plan'!BA:BA)</f>
        <v>28262</v>
      </c>
      <c r="CS16" s="35">
        <f t="shared" si="46"/>
        <v>28262</v>
      </c>
      <c r="CT16" s="35">
        <f>SUMIF('5 Year Supply Plan'!A:A,'JZ_BRAND SPLITS'!C16,'5 Year Supply Plan'!BB:BB)</f>
        <v>26490</v>
      </c>
      <c r="CU16" s="35">
        <f t="shared" si="47"/>
        <v>26490</v>
      </c>
      <c r="CV16" s="35">
        <f>SUMIF('5 Year Supply Plan'!A:A,'JZ_BRAND SPLITS'!C16,'5 Year Supply Plan'!BC:BC)</f>
        <v>32523</v>
      </c>
      <c r="CW16" s="35">
        <f t="shared" si="48"/>
        <v>32523</v>
      </c>
      <c r="CX16" s="35">
        <f>SUMIF('5 Year Supply Plan'!A:A,'JZ_BRAND SPLITS'!C16,'5 Year Supply Plan'!BD:BD)</f>
        <v>32142</v>
      </c>
      <c r="CY16" s="35">
        <f t="shared" si="49"/>
        <v>32142</v>
      </c>
      <c r="CZ16" s="35">
        <f>SUMIF('5 Year Supply Plan'!A:A,'JZ_BRAND SPLITS'!C16,'5 Year Supply Plan'!BE:BE)</f>
        <v>28948</v>
      </c>
      <c r="DA16" s="35">
        <f t="shared" si="50"/>
        <v>28948</v>
      </c>
      <c r="DB16" s="35">
        <f>SUMIF('5 Year Supply Plan'!A:A,'JZ_BRAND SPLITS'!C16,'5 Year Supply Plan'!BF:BF)</f>
        <v>31013</v>
      </c>
      <c r="DC16" s="35">
        <f t="shared" si="51"/>
        <v>31013</v>
      </c>
      <c r="DD16" s="35">
        <f>SUMIF('5 Year Supply Plan'!A:A,'JZ_BRAND SPLITS'!C16,'5 Year Supply Plan'!BG:BG)</f>
        <v>30927</v>
      </c>
      <c r="DE16" s="35">
        <f t="shared" si="52"/>
        <v>30927</v>
      </c>
      <c r="DF16" s="35">
        <f>SUMIF('5 Year Supply Plan'!A:A,'JZ_BRAND SPLITS'!C16,'5 Year Supply Plan'!BH:BH)</f>
        <v>34262</v>
      </c>
      <c r="DG16" s="35">
        <f t="shared" si="53"/>
        <v>34262</v>
      </c>
      <c r="DH16" s="35">
        <f>SUMIF('5 Year Supply Plan'!A:A,'JZ_BRAND SPLITS'!C16,'5 Year Supply Plan'!BI:BI)</f>
        <v>33081</v>
      </c>
      <c r="DI16" s="35">
        <f t="shared" si="54"/>
        <v>33081</v>
      </c>
      <c r="DJ16" s="35">
        <f>SUMIF('5 Year Supply Plan'!A:A,'JZ_BRAND SPLITS'!C16,'5 Year Supply Plan'!BJ:BJ)</f>
        <v>30659</v>
      </c>
      <c r="DK16" s="35">
        <f t="shared" si="55"/>
        <v>30659</v>
      </c>
      <c r="DL16" s="35">
        <f>SUMIF('5 Year Supply Plan'!A:A,'JZ_BRAND SPLITS'!C16,'5 Year Supply Plan'!BK:BK)</f>
        <v>31337</v>
      </c>
      <c r="DM16" s="35">
        <f t="shared" si="56"/>
        <v>31337</v>
      </c>
      <c r="DN16" s="42">
        <f>SUMIF('5 Year Supply Plan'!A:A,'JZ_BRAND SPLITS'!C16,'5 Year Supply Plan'!BL:BL)</f>
        <v>32876</v>
      </c>
      <c r="DO16" s="35">
        <f t="shared" si="57"/>
        <v>32876</v>
      </c>
      <c r="DP16" s="35">
        <f>SUMIF('5 Year Supply Plan'!A:A,'JZ_BRAND SPLITS'!C16,'5 Year Supply Plan'!BM:BM)</f>
        <v>31546.125</v>
      </c>
      <c r="DQ16" s="35">
        <f t="shared" si="58"/>
        <v>31546.125</v>
      </c>
      <c r="DR16" s="35">
        <f>SUMIF('5 Year Supply Plan'!A:A,'JZ_BRAND SPLITS'!C16,'5 Year Supply Plan'!BN:BN)</f>
        <v>31546.125</v>
      </c>
      <c r="DS16" s="35">
        <f t="shared" si="59"/>
        <v>31546.125</v>
      </c>
      <c r="DT16" s="39">
        <f t="shared" si="60"/>
        <v>1697609.1328129999</v>
      </c>
      <c r="DU16" s="36">
        <f>SUMIF('5 Year Supply Plan'!A:A,'JZ_BRAND SPLITS'!C16,'5 Year Supply Plan'!BO:BO)</f>
        <v>1697609.1328130001</v>
      </c>
    </row>
    <row r="17" spans="1:125" x14ac:dyDescent="0.25">
      <c r="A17" s="40" t="s">
        <v>253</v>
      </c>
      <c r="B17" s="40" t="s">
        <v>246</v>
      </c>
      <c r="C17" s="40" t="s">
        <v>254</v>
      </c>
      <c r="D17" s="40" t="str">
        <f t="shared" si="0"/>
        <v>A02DRain Tibial/Pedal</v>
      </c>
      <c r="E17" s="41">
        <v>1</v>
      </c>
      <c r="F17" s="35">
        <f>SUMIF('5 Year Supply Plan'!A:A,'JZ_BRAND SPLITS'!C17,'5 Year Supply Plan'!H:H)</f>
        <v>0</v>
      </c>
      <c r="G17" s="35">
        <f t="shared" si="1"/>
        <v>0</v>
      </c>
      <c r="H17" s="35">
        <f>SUMIF('5 Year Supply Plan'!A:A,'JZ_BRAND SPLITS'!C17,'5 Year Supply Plan'!I:I)</f>
        <v>0</v>
      </c>
      <c r="I17" s="35">
        <f t="shared" si="2"/>
        <v>0</v>
      </c>
      <c r="J17" s="35">
        <f>SUMIF('5 Year Supply Plan'!A:A,'JZ_BRAND SPLITS'!C17,'5 Year Supply Plan'!J:J)</f>
        <v>0</v>
      </c>
      <c r="K17" s="35">
        <f t="shared" si="3"/>
        <v>0</v>
      </c>
      <c r="L17" s="35">
        <f>SUMIF('5 Year Supply Plan'!A:A,'JZ_BRAND SPLITS'!C17,'5 Year Supply Plan'!K:K)</f>
        <v>0</v>
      </c>
      <c r="M17" s="35">
        <f t="shared" si="4"/>
        <v>0</v>
      </c>
      <c r="N17" s="35">
        <f>SUMIF('5 Year Supply Plan'!A:A,'JZ_BRAND SPLITS'!C17,'5 Year Supply Plan'!L:L)</f>
        <v>0</v>
      </c>
      <c r="O17" s="35">
        <f t="shared" si="5"/>
        <v>0</v>
      </c>
      <c r="P17" s="35">
        <f>SUMIF('5 Year Supply Plan'!A:A,'JZ_BRAND SPLITS'!C17,'5 Year Supply Plan'!M:M)</f>
        <v>0</v>
      </c>
      <c r="Q17" s="35">
        <f t="shared" si="6"/>
        <v>0</v>
      </c>
      <c r="R17" s="35">
        <f>SUMIF('5 Year Supply Plan'!A:A,'JZ_BRAND SPLITS'!C17,'5 Year Supply Plan'!N:N)</f>
        <v>0</v>
      </c>
      <c r="S17" s="35">
        <f t="shared" si="7"/>
        <v>0</v>
      </c>
      <c r="T17" s="35">
        <f>SUMIF('5 Year Supply Plan'!A:A,'JZ_BRAND SPLITS'!C17,'5 Year Supply Plan'!O:O)</f>
        <v>0</v>
      </c>
      <c r="U17" s="35">
        <f t="shared" si="8"/>
        <v>0</v>
      </c>
      <c r="V17" s="35">
        <f>SUMIF('5 Year Supply Plan'!A:A,'JZ_BRAND SPLITS'!C17,'5 Year Supply Plan'!P:P)</f>
        <v>0</v>
      </c>
      <c r="W17" s="35">
        <f t="shared" si="9"/>
        <v>0</v>
      </c>
      <c r="X17" s="35">
        <f>SUMIF('5 Year Supply Plan'!A:A,'JZ_BRAND SPLITS'!C17,'5 Year Supply Plan'!Q:Q)</f>
        <v>0</v>
      </c>
      <c r="Y17" s="35">
        <f t="shared" si="10"/>
        <v>0</v>
      </c>
      <c r="Z17" s="35">
        <f>SUMIF('5 Year Supply Plan'!A:A,'JZ_BRAND SPLITS'!C17,'5 Year Supply Plan'!R:R)</f>
        <v>0</v>
      </c>
      <c r="AA17" s="35">
        <f t="shared" si="11"/>
        <v>0</v>
      </c>
      <c r="AB17" s="35">
        <f>SUMIF('5 Year Supply Plan'!A:A,'JZ_BRAND SPLITS'!C17,'5 Year Supply Plan'!S:S)</f>
        <v>0</v>
      </c>
      <c r="AC17" s="35">
        <f t="shared" si="12"/>
        <v>0</v>
      </c>
      <c r="AD17" s="35">
        <f>SUMIF('5 Year Supply Plan'!A:A,'JZ_BRAND SPLITS'!C17,'5 Year Supply Plan'!T:T)</f>
        <v>0</v>
      </c>
      <c r="AE17" s="35">
        <f t="shared" si="13"/>
        <v>0</v>
      </c>
      <c r="AF17" s="35">
        <f>SUMIF('5 Year Supply Plan'!A:A,'JZ_BRAND SPLITS'!C17,'5 Year Supply Plan'!U:U)</f>
        <v>0</v>
      </c>
      <c r="AG17" s="35">
        <f t="shared" si="14"/>
        <v>0</v>
      </c>
      <c r="AH17" s="35">
        <f>SUMIF('5 Year Supply Plan'!A:A,'JZ_BRAND SPLITS'!C17,'5 Year Supply Plan'!V:V)</f>
        <v>0</v>
      </c>
      <c r="AI17" s="35">
        <f t="shared" si="15"/>
        <v>0</v>
      </c>
      <c r="AJ17" s="35">
        <f>SUMIF('5 Year Supply Plan'!A:A,'JZ_BRAND SPLITS'!C17,'5 Year Supply Plan'!W:W)</f>
        <v>0</v>
      </c>
      <c r="AK17" s="35">
        <f t="shared" si="16"/>
        <v>0</v>
      </c>
      <c r="AL17" s="35">
        <f>SUMIF('5 Year Supply Plan'!A:A,'JZ_BRAND SPLITS'!C17,'5 Year Supply Plan'!X:X)</f>
        <v>0</v>
      </c>
      <c r="AM17" s="35">
        <f t="shared" si="17"/>
        <v>0</v>
      </c>
      <c r="AN17" s="35">
        <f>SUMIF('5 Year Supply Plan'!A:A,'JZ_BRAND SPLITS'!C17,'5 Year Supply Plan'!Y:Y)</f>
        <v>0</v>
      </c>
      <c r="AO17" s="35">
        <f t="shared" si="18"/>
        <v>0</v>
      </c>
      <c r="AP17" s="35">
        <f>SUMIF('5 Year Supply Plan'!A:A,'JZ_BRAND SPLITS'!C17,'5 Year Supply Plan'!Z:Z)</f>
        <v>0</v>
      </c>
      <c r="AQ17" s="35">
        <f t="shared" si="19"/>
        <v>0</v>
      </c>
      <c r="AR17" s="35">
        <f>SUMIF('5 Year Supply Plan'!A:A,'JZ_BRAND SPLITS'!C17,'5 Year Supply Plan'!AA:AA)</f>
        <v>0</v>
      </c>
      <c r="AS17" s="35">
        <f t="shared" si="20"/>
        <v>0</v>
      </c>
      <c r="AT17" s="35">
        <f>SUMIF('5 Year Supply Plan'!A:A,'JZ_BRAND SPLITS'!C17,'5 Year Supply Plan'!AB:AB)</f>
        <v>0</v>
      </c>
      <c r="AU17" s="35">
        <f t="shared" si="21"/>
        <v>0</v>
      </c>
      <c r="AV17" s="35">
        <f>SUMIF('5 Year Supply Plan'!A:A,'JZ_BRAND SPLITS'!C17,'5 Year Supply Plan'!AC:AC)</f>
        <v>0</v>
      </c>
      <c r="AW17" s="35">
        <f t="shared" si="22"/>
        <v>0</v>
      </c>
      <c r="AX17" s="35">
        <f>SUMIF('5 Year Supply Plan'!A:A,'JZ_BRAND SPLITS'!C17,'5 Year Supply Plan'!AD:AD)</f>
        <v>0</v>
      </c>
      <c r="AY17" s="35">
        <f t="shared" si="23"/>
        <v>0</v>
      </c>
      <c r="AZ17" s="35">
        <f>SUMIF('5 Year Supply Plan'!A:A,'JZ_BRAND SPLITS'!C17,'5 Year Supply Plan'!AE:AE)</f>
        <v>0</v>
      </c>
      <c r="BA17" s="35">
        <f t="shared" si="24"/>
        <v>0</v>
      </c>
      <c r="BB17" s="35">
        <f>SUMIF('5 Year Supply Plan'!A:A,'JZ_BRAND SPLITS'!C17,'5 Year Supply Plan'!AF:AF)</f>
        <v>0</v>
      </c>
      <c r="BC17" s="35">
        <f t="shared" si="25"/>
        <v>0</v>
      </c>
      <c r="BD17" s="35">
        <f>SUMIF('5 Year Supply Plan'!A:A,'JZ_BRAND SPLITS'!C17,'5 Year Supply Plan'!AG:AG)</f>
        <v>0</v>
      </c>
      <c r="BE17" s="35">
        <f t="shared" si="26"/>
        <v>0</v>
      </c>
      <c r="BF17" s="35">
        <f>SUMIF('5 Year Supply Plan'!A:A,'JZ_BRAND SPLITS'!C17,'5 Year Supply Plan'!AH:AH)</f>
        <v>0</v>
      </c>
      <c r="BG17" s="35">
        <f t="shared" si="27"/>
        <v>0</v>
      </c>
      <c r="BH17" s="35">
        <f>SUMIF('5 Year Supply Plan'!A:A,'JZ_BRAND SPLITS'!C17,'5 Year Supply Plan'!AI:AI)</f>
        <v>0</v>
      </c>
      <c r="BI17" s="35">
        <f t="shared" si="28"/>
        <v>0</v>
      </c>
      <c r="BJ17" s="35">
        <f>SUMIF('5 Year Supply Plan'!A:A,'JZ_BRAND SPLITS'!C17,'5 Year Supply Plan'!AJ:AJ)</f>
        <v>0</v>
      </c>
      <c r="BK17" s="35">
        <f t="shared" si="29"/>
        <v>0</v>
      </c>
      <c r="BL17" s="35">
        <f>SUMIF('5 Year Supply Plan'!A:A,'JZ_BRAND SPLITS'!C17,'5 Year Supply Plan'!AK:AK)</f>
        <v>0</v>
      </c>
      <c r="BM17" s="35">
        <f t="shared" si="30"/>
        <v>0</v>
      </c>
      <c r="BN17" s="35">
        <f>SUMIF('5 Year Supply Plan'!A:A,'JZ_BRAND SPLITS'!C17,'5 Year Supply Plan'!AL:AL)</f>
        <v>0</v>
      </c>
      <c r="BO17" s="35">
        <f t="shared" si="31"/>
        <v>0</v>
      </c>
      <c r="BP17" s="35">
        <f>SUMIF('5 Year Supply Plan'!A:A,'JZ_BRAND SPLITS'!C17,'5 Year Supply Plan'!AM:AM)</f>
        <v>0</v>
      </c>
      <c r="BQ17" s="35">
        <f t="shared" si="32"/>
        <v>0</v>
      </c>
      <c r="BR17" s="35">
        <f>SUMIF('5 Year Supply Plan'!A:A,'JZ_BRAND SPLITS'!C17,'5 Year Supply Plan'!AN:AN)</f>
        <v>0</v>
      </c>
      <c r="BS17" s="35">
        <f t="shared" si="33"/>
        <v>0</v>
      </c>
      <c r="BT17" s="35">
        <f>SUMIF('5 Year Supply Plan'!A:A,'JZ_BRAND SPLITS'!C17,'5 Year Supply Plan'!AO:AO)</f>
        <v>0</v>
      </c>
      <c r="BU17" s="35">
        <f t="shared" si="34"/>
        <v>0</v>
      </c>
      <c r="BV17" s="35">
        <f>SUMIF('5 Year Supply Plan'!A:A,'JZ_BRAND SPLITS'!C17,'5 Year Supply Plan'!AP:AP)</f>
        <v>0</v>
      </c>
      <c r="BW17" s="35">
        <f t="shared" si="35"/>
        <v>0</v>
      </c>
      <c r="BX17" s="35">
        <f>SUMIF('5 Year Supply Plan'!A:A,'JZ_BRAND SPLITS'!C17,'5 Year Supply Plan'!AQ:AQ)</f>
        <v>0</v>
      </c>
      <c r="BY17" s="35">
        <f t="shared" si="36"/>
        <v>0</v>
      </c>
      <c r="BZ17" s="35">
        <f>SUMIF('5 Year Supply Plan'!A:A,'JZ_BRAND SPLITS'!C17,'5 Year Supply Plan'!AR:AR)</f>
        <v>0</v>
      </c>
      <c r="CA17" s="35">
        <f t="shared" si="37"/>
        <v>0</v>
      </c>
      <c r="CB17" s="35">
        <f>SUMIF('5 Year Supply Plan'!A:A,'JZ_BRAND SPLITS'!C17,'5 Year Supply Plan'!AS:AS)</f>
        <v>0</v>
      </c>
      <c r="CC17" s="35">
        <f t="shared" si="38"/>
        <v>0</v>
      </c>
      <c r="CD17" s="35">
        <f>SUMIF('5 Year Supply Plan'!A:A,'JZ_BRAND SPLITS'!C17,'5 Year Supply Plan'!AT:AT)</f>
        <v>0</v>
      </c>
      <c r="CE17" s="35">
        <f t="shared" si="39"/>
        <v>0</v>
      </c>
      <c r="CF17" s="35">
        <f>SUMIF('5 Year Supply Plan'!A:A,'JZ_BRAND SPLITS'!C17,'5 Year Supply Plan'!AU:AU)</f>
        <v>0</v>
      </c>
      <c r="CG17" s="35">
        <f t="shared" si="40"/>
        <v>0</v>
      </c>
      <c r="CH17" s="35">
        <f>SUMIF('5 Year Supply Plan'!A:A,'JZ_BRAND SPLITS'!C17,'5 Year Supply Plan'!AV:AV)</f>
        <v>0</v>
      </c>
      <c r="CI17" s="35">
        <f t="shared" si="41"/>
        <v>0</v>
      </c>
      <c r="CJ17" s="35">
        <f>SUMIF('5 Year Supply Plan'!A:A,'JZ_BRAND SPLITS'!C17,'5 Year Supply Plan'!AW:AW)</f>
        <v>0</v>
      </c>
      <c r="CK17" s="35">
        <f t="shared" si="42"/>
        <v>0</v>
      </c>
      <c r="CL17" s="35">
        <f>SUMIF('5 Year Supply Plan'!A:A,'JZ_BRAND SPLITS'!C17,'5 Year Supply Plan'!AX:AX)</f>
        <v>0</v>
      </c>
      <c r="CM17" s="35">
        <f t="shared" si="43"/>
        <v>0</v>
      </c>
      <c r="CN17" s="35">
        <f>SUMIF('5 Year Supply Plan'!A:A,'JZ_BRAND SPLITS'!C17,'5 Year Supply Plan'!AY:AY)</f>
        <v>0</v>
      </c>
      <c r="CO17" s="35">
        <f t="shared" si="44"/>
        <v>0</v>
      </c>
      <c r="CP17" s="35">
        <f>SUMIF('5 Year Supply Plan'!A:A,'JZ_BRAND SPLITS'!C17,'5 Year Supply Plan'!AZ:AZ)</f>
        <v>0</v>
      </c>
      <c r="CQ17" s="35">
        <f t="shared" si="45"/>
        <v>0</v>
      </c>
      <c r="CR17" s="35">
        <f>SUMIF('5 Year Supply Plan'!A:A,'JZ_BRAND SPLITS'!C17,'5 Year Supply Plan'!BA:BA)</f>
        <v>0</v>
      </c>
      <c r="CS17" s="35">
        <f t="shared" si="46"/>
        <v>0</v>
      </c>
      <c r="CT17" s="35">
        <f>SUMIF('5 Year Supply Plan'!A:A,'JZ_BRAND SPLITS'!C17,'5 Year Supply Plan'!BB:BB)</f>
        <v>0</v>
      </c>
      <c r="CU17" s="35">
        <f t="shared" si="47"/>
        <v>0</v>
      </c>
      <c r="CV17" s="35">
        <f>SUMIF('5 Year Supply Plan'!A:A,'JZ_BRAND SPLITS'!C17,'5 Year Supply Plan'!BC:BC)</f>
        <v>0</v>
      </c>
      <c r="CW17" s="35">
        <f t="shared" si="48"/>
        <v>0</v>
      </c>
      <c r="CX17" s="35">
        <f>SUMIF('5 Year Supply Plan'!A:A,'JZ_BRAND SPLITS'!C17,'5 Year Supply Plan'!BD:BD)</f>
        <v>0</v>
      </c>
      <c r="CY17" s="35">
        <f t="shared" si="49"/>
        <v>0</v>
      </c>
      <c r="CZ17" s="35">
        <f>SUMIF('5 Year Supply Plan'!A:A,'JZ_BRAND SPLITS'!C17,'5 Year Supply Plan'!BE:BE)</f>
        <v>0</v>
      </c>
      <c r="DA17" s="35">
        <f t="shared" si="50"/>
        <v>0</v>
      </c>
      <c r="DB17" s="35">
        <f>SUMIF('5 Year Supply Plan'!A:A,'JZ_BRAND SPLITS'!C17,'5 Year Supply Plan'!BF:BF)</f>
        <v>0</v>
      </c>
      <c r="DC17" s="35">
        <f t="shared" si="51"/>
        <v>0</v>
      </c>
      <c r="DD17" s="35">
        <f>SUMIF('5 Year Supply Plan'!A:A,'JZ_BRAND SPLITS'!C17,'5 Year Supply Plan'!BG:BG)</f>
        <v>0</v>
      </c>
      <c r="DE17" s="35">
        <f t="shared" si="52"/>
        <v>0</v>
      </c>
      <c r="DF17" s="35">
        <f>SUMIF('5 Year Supply Plan'!A:A,'JZ_BRAND SPLITS'!C17,'5 Year Supply Plan'!BH:BH)</f>
        <v>0</v>
      </c>
      <c r="DG17" s="35">
        <f t="shared" si="53"/>
        <v>0</v>
      </c>
      <c r="DH17" s="35">
        <f>SUMIF('5 Year Supply Plan'!A:A,'JZ_BRAND SPLITS'!C17,'5 Year Supply Plan'!BI:BI)</f>
        <v>0</v>
      </c>
      <c r="DI17" s="35">
        <f t="shared" si="54"/>
        <v>0</v>
      </c>
      <c r="DJ17" s="35">
        <f>SUMIF('5 Year Supply Plan'!A:A,'JZ_BRAND SPLITS'!C17,'5 Year Supply Plan'!BJ:BJ)</f>
        <v>0</v>
      </c>
      <c r="DK17" s="35">
        <f t="shared" si="55"/>
        <v>0</v>
      </c>
      <c r="DL17" s="35">
        <f>SUMIF('5 Year Supply Plan'!A:A,'JZ_BRAND SPLITS'!C17,'5 Year Supply Plan'!BK:BK)</f>
        <v>0</v>
      </c>
      <c r="DM17" s="35">
        <f t="shared" si="56"/>
        <v>0</v>
      </c>
      <c r="DN17" s="42">
        <f>SUMIF('5 Year Supply Plan'!A:A,'JZ_BRAND SPLITS'!C17,'5 Year Supply Plan'!BL:BL)</f>
        <v>0</v>
      </c>
      <c r="DO17" s="35">
        <f t="shared" si="57"/>
        <v>0</v>
      </c>
      <c r="DP17" s="35">
        <f>SUMIF('5 Year Supply Plan'!A:A,'JZ_BRAND SPLITS'!C17,'5 Year Supply Plan'!BM:BM)</f>
        <v>0</v>
      </c>
      <c r="DQ17" s="35">
        <f t="shared" si="58"/>
        <v>0</v>
      </c>
      <c r="DR17" s="35">
        <f>SUMIF('5 Year Supply Plan'!A:A,'JZ_BRAND SPLITS'!C17,'5 Year Supply Plan'!BN:BN)</f>
        <v>0</v>
      </c>
      <c r="DS17" s="35">
        <f t="shared" si="59"/>
        <v>0</v>
      </c>
      <c r="DT17" s="39">
        <f t="shared" si="60"/>
        <v>0</v>
      </c>
      <c r="DU17" s="36">
        <f>SUMIF('5 Year Supply Plan'!A:A,'JZ_BRAND SPLITS'!C17,'5 Year Supply Plan'!BO:BO)</f>
        <v>0</v>
      </c>
    </row>
    <row r="18" spans="1:125" x14ac:dyDescent="0.25">
      <c r="A18" s="40" t="s">
        <v>255</v>
      </c>
      <c r="B18" s="40" t="s">
        <v>246</v>
      </c>
      <c r="C18" s="40" t="s">
        <v>94</v>
      </c>
      <c r="D18" s="40" t="str">
        <f t="shared" si="0"/>
        <v>A04RAILWAY</v>
      </c>
      <c r="E18" s="41">
        <v>1</v>
      </c>
      <c r="F18" s="35">
        <f>SUMIF('5 Year Supply Plan'!A:A,'JZ_BRAND SPLITS'!C18,'5 Year Supply Plan'!H:H)</f>
        <v>0</v>
      </c>
      <c r="G18" s="35">
        <f t="shared" si="1"/>
        <v>0</v>
      </c>
      <c r="H18" s="35">
        <f>SUMIF('5 Year Supply Plan'!A:A,'JZ_BRAND SPLITS'!C18,'5 Year Supply Plan'!I:I)</f>
        <v>0</v>
      </c>
      <c r="I18" s="35">
        <f t="shared" si="2"/>
        <v>0</v>
      </c>
      <c r="J18" s="35">
        <f>SUMIF('5 Year Supply Plan'!A:A,'JZ_BRAND SPLITS'!C18,'5 Year Supply Plan'!J:J)</f>
        <v>0</v>
      </c>
      <c r="K18" s="35">
        <f t="shared" si="3"/>
        <v>0</v>
      </c>
      <c r="L18" s="35">
        <f>SUMIF('5 Year Supply Plan'!A:A,'JZ_BRAND SPLITS'!C18,'5 Year Supply Plan'!K:K)</f>
        <v>0</v>
      </c>
      <c r="M18" s="35">
        <f t="shared" si="4"/>
        <v>0</v>
      </c>
      <c r="N18" s="35">
        <f>SUMIF('5 Year Supply Plan'!A:A,'JZ_BRAND SPLITS'!C18,'5 Year Supply Plan'!L:L)</f>
        <v>0</v>
      </c>
      <c r="O18" s="35">
        <f t="shared" si="5"/>
        <v>0</v>
      </c>
      <c r="P18" s="35">
        <f>SUMIF('5 Year Supply Plan'!A:A,'JZ_BRAND SPLITS'!C18,'5 Year Supply Plan'!M:M)</f>
        <v>0</v>
      </c>
      <c r="Q18" s="35">
        <f t="shared" si="6"/>
        <v>0</v>
      </c>
      <c r="R18" s="35">
        <f>SUMIF('5 Year Supply Plan'!A:A,'JZ_BRAND SPLITS'!C18,'5 Year Supply Plan'!N:N)</f>
        <v>0</v>
      </c>
      <c r="S18" s="35">
        <f t="shared" si="7"/>
        <v>0</v>
      </c>
      <c r="T18" s="35">
        <f>SUMIF('5 Year Supply Plan'!A:A,'JZ_BRAND SPLITS'!C18,'5 Year Supply Plan'!O:O)</f>
        <v>0</v>
      </c>
      <c r="U18" s="35">
        <f t="shared" si="8"/>
        <v>0</v>
      </c>
      <c r="V18" s="35">
        <f>SUMIF('5 Year Supply Plan'!A:A,'JZ_BRAND SPLITS'!C18,'5 Year Supply Plan'!P:P)</f>
        <v>0</v>
      </c>
      <c r="W18" s="35">
        <f t="shared" si="9"/>
        <v>0</v>
      </c>
      <c r="X18" s="35">
        <f>SUMIF('5 Year Supply Plan'!A:A,'JZ_BRAND SPLITS'!C18,'5 Year Supply Plan'!Q:Q)</f>
        <v>0</v>
      </c>
      <c r="Y18" s="35">
        <f t="shared" si="10"/>
        <v>0</v>
      </c>
      <c r="Z18" s="35">
        <f>SUMIF('5 Year Supply Plan'!A:A,'JZ_BRAND SPLITS'!C18,'5 Year Supply Plan'!R:R)</f>
        <v>0</v>
      </c>
      <c r="AA18" s="35">
        <f t="shared" si="11"/>
        <v>0</v>
      </c>
      <c r="AB18" s="35">
        <f>SUMIF('5 Year Supply Plan'!A:A,'JZ_BRAND SPLITS'!C18,'5 Year Supply Plan'!S:S)</f>
        <v>0</v>
      </c>
      <c r="AC18" s="35">
        <f t="shared" si="12"/>
        <v>0</v>
      </c>
      <c r="AD18" s="35">
        <f>SUMIF('5 Year Supply Plan'!A:A,'JZ_BRAND SPLITS'!C18,'5 Year Supply Plan'!T:T)</f>
        <v>0</v>
      </c>
      <c r="AE18" s="35">
        <f t="shared" si="13"/>
        <v>0</v>
      </c>
      <c r="AF18" s="35">
        <f>SUMIF('5 Year Supply Plan'!A:A,'JZ_BRAND SPLITS'!C18,'5 Year Supply Plan'!U:U)</f>
        <v>0</v>
      </c>
      <c r="AG18" s="35">
        <f t="shared" si="14"/>
        <v>0</v>
      </c>
      <c r="AH18" s="35">
        <f>SUMIF('5 Year Supply Plan'!A:A,'JZ_BRAND SPLITS'!C18,'5 Year Supply Plan'!V:V)</f>
        <v>0</v>
      </c>
      <c r="AI18" s="35">
        <f t="shared" si="15"/>
        <v>0</v>
      </c>
      <c r="AJ18" s="35">
        <f>SUMIF('5 Year Supply Plan'!A:A,'JZ_BRAND SPLITS'!C18,'5 Year Supply Plan'!W:W)</f>
        <v>0</v>
      </c>
      <c r="AK18" s="35">
        <f t="shared" si="16"/>
        <v>0</v>
      </c>
      <c r="AL18" s="35">
        <f>SUMIF('5 Year Supply Plan'!A:A,'JZ_BRAND SPLITS'!C18,'5 Year Supply Plan'!X:X)</f>
        <v>0</v>
      </c>
      <c r="AM18" s="35">
        <f t="shared" si="17"/>
        <v>0</v>
      </c>
      <c r="AN18" s="35">
        <f>SUMIF('5 Year Supply Plan'!A:A,'JZ_BRAND SPLITS'!C18,'5 Year Supply Plan'!Y:Y)</f>
        <v>0</v>
      </c>
      <c r="AO18" s="35">
        <f t="shared" si="18"/>
        <v>0</v>
      </c>
      <c r="AP18" s="35">
        <f>SUMIF('5 Year Supply Plan'!A:A,'JZ_BRAND SPLITS'!C18,'5 Year Supply Plan'!Z:Z)</f>
        <v>0</v>
      </c>
      <c r="AQ18" s="35">
        <f t="shared" si="19"/>
        <v>0</v>
      </c>
      <c r="AR18" s="35">
        <f>SUMIF('5 Year Supply Plan'!A:A,'JZ_BRAND SPLITS'!C18,'5 Year Supply Plan'!AA:AA)</f>
        <v>0</v>
      </c>
      <c r="AS18" s="35">
        <f t="shared" si="20"/>
        <v>0</v>
      </c>
      <c r="AT18" s="35">
        <f>SUMIF('5 Year Supply Plan'!A:A,'JZ_BRAND SPLITS'!C18,'5 Year Supply Plan'!AB:AB)</f>
        <v>0</v>
      </c>
      <c r="AU18" s="35">
        <f t="shared" si="21"/>
        <v>0</v>
      </c>
      <c r="AV18" s="35">
        <f>SUMIF('5 Year Supply Plan'!A:A,'JZ_BRAND SPLITS'!C18,'5 Year Supply Plan'!AC:AC)</f>
        <v>0</v>
      </c>
      <c r="AW18" s="35">
        <f t="shared" si="22"/>
        <v>0</v>
      </c>
      <c r="AX18" s="35">
        <f>SUMIF('5 Year Supply Plan'!A:A,'JZ_BRAND SPLITS'!C18,'5 Year Supply Plan'!AD:AD)</f>
        <v>0</v>
      </c>
      <c r="AY18" s="35">
        <f t="shared" si="23"/>
        <v>0</v>
      </c>
      <c r="AZ18" s="35">
        <f>SUMIF('5 Year Supply Plan'!A:A,'JZ_BRAND SPLITS'!C18,'5 Year Supply Plan'!AE:AE)</f>
        <v>0</v>
      </c>
      <c r="BA18" s="35">
        <f t="shared" si="24"/>
        <v>0</v>
      </c>
      <c r="BB18" s="35">
        <f>SUMIF('5 Year Supply Plan'!A:A,'JZ_BRAND SPLITS'!C18,'5 Year Supply Plan'!AF:AF)</f>
        <v>0</v>
      </c>
      <c r="BC18" s="35">
        <f t="shared" si="25"/>
        <v>0</v>
      </c>
      <c r="BD18" s="35">
        <f>SUMIF('5 Year Supply Plan'!A:A,'JZ_BRAND SPLITS'!C18,'5 Year Supply Plan'!AG:AG)</f>
        <v>0</v>
      </c>
      <c r="BE18" s="35">
        <f t="shared" si="26"/>
        <v>0</v>
      </c>
      <c r="BF18" s="35">
        <f>SUMIF('5 Year Supply Plan'!A:A,'JZ_BRAND SPLITS'!C18,'5 Year Supply Plan'!AH:AH)</f>
        <v>0</v>
      </c>
      <c r="BG18" s="35">
        <f t="shared" si="27"/>
        <v>0</v>
      </c>
      <c r="BH18" s="35">
        <f>SUMIF('5 Year Supply Plan'!A:A,'JZ_BRAND SPLITS'!C18,'5 Year Supply Plan'!AI:AI)</f>
        <v>0</v>
      </c>
      <c r="BI18" s="35">
        <f t="shared" si="28"/>
        <v>0</v>
      </c>
      <c r="BJ18" s="35">
        <f>SUMIF('5 Year Supply Plan'!A:A,'JZ_BRAND SPLITS'!C18,'5 Year Supply Plan'!AJ:AJ)</f>
        <v>0</v>
      </c>
      <c r="BK18" s="35">
        <f t="shared" si="29"/>
        <v>0</v>
      </c>
      <c r="BL18" s="35">
        <f>SUMIF('5 Year Supply Plan'!A:A,'JZ_BRAND SPLITS'!C18,'5 Year Supply Plan'!AK:AK)</f>
        <v>0</v>
      </c>
      <c r="BM18" s="35">
        <f t="shared" si="30"/>
        <v>0</v>
      </c>
      <c r="BN18" s="35">
        <f>SUMIF('5 Year Supply Plan'!A:A,'JZ_BRAND SPLITS'!C18,'5 Year Supply Plan'!AL:AL)</f>
        <v>0</v>
      </c>
      <c r="BO18" s="35">
        <f t="shared" si="31"/>
        <v>0</v>
      </c>
      <c r="BP18" s="35">
        <f>SUMIF('5 Year Supply Plan'!A:A,'JZ_BRAND SPLITS'!C18,'5 Year Supply Plan'!AM:AM)</f>
        <v>0</v>
      </c>
      <c r="BQ18" s="35">
        <f t="shared" si="32"/>
        <v>0</v>
      </c>
      <c r="BR18" s="35">
        <f>SUMIF('5 Year Supply Plan'!A:A,'JZ_BRAND SPLITS'!C18,'5 Year Supply Plan'!AN:AN)</f>
        <v>0</v>
      </c>
      <c r="BS18" s="35">
        <f t="shared" si="33"/>
        <v>0</v>
      </c>
      <c r="BT18" s="35">
        <f>SUMIF('5 Year Supply Plan'!A:A,'JZ_BRAND SPLITS'!C18,'5 Year Supply Plan'!AO:AO)</f>
        <v>0</v>
      </c>
      <c r="BU18" s="35">
        <f t="shared" si="34"/>
        <v>0</v>
      </c>
      <c r="BV18" s="35">
        <f>SUMIF('5 Year Supply Plan'!A:A,'JZ_BRAND SPLITS'!C18,'5 Year Supply Plan'!AP:AP)</f>
        <v>0</v>
      </c>
      <c r="BW18" s="35">
        <f t="shared" si="35"/>
        <v>0</v>
      </c>
      <c r="BX18" s="35">
        <f>SUMIF('5 Year Supply Plan'!A:A,'JZ_BRAND SPLITS'!C18,'5 Year Supply Plan'!AQ:AQ)</f>
        <v>0</v>
      </c>
      <c r="BY18" s="35">
        <f t="shared" si="36"/>
        <v>0</v>
      </c>
      <c r="BZ18" s="35">
        <f>SUMIF('5 Year Supply Plan'!A:A,'JZ_BRAND SPLITS'!C18,'5 Year Supply Plan'!AR:AR)</f>
        <v>0</v>
      </c>
      <c r="CA18" s="35">
        <f t="shared" si="37"/>
        <v>0</v>
      </c>
      <c r="CB18" s="35">
        <f>SUMIF('5 Year Supply Plan'!A:A,'JZ_BRAND SPLITS'!C18,'5 Year Supply Plan'!AS:AS)</f>
        <v>0</v>
      </c>
      <c r="CC18" s="35">
        <f t="shared" si="38"/>
        <v>0</v>
      </c>
      <c r="CD18" s="35">
        <f>SUMIF('5 Year Supply Plan'!A:A,'JZ_BRAND SPLITS'!C18,'5 Year Supply Plan'!AT:AT)</f>
        <v>0</v>
      </c>
      <c r="CE18" s="35">
        <f t="shared" si="39"/>
        <v>0</v>
      </c>
      <c r="CF18" s="35">
        <f>SUMIF('5 Year Supply Plan'!A:A,'JZ_BRAND SPLITS'!C18,'5 Year Supply Plan'!AU:AU)</f>
        <v>0</v>
      </c>
      <c r="CG18" s="35">
        <f t="shared" si="40"/>
        <v>0</v>
      </c>
      <c r="CH18" s="35">
        <f>SUMIF('5 Year Supply Plan'!A:A,'JZ_BRAND SPLITS'!C18,'5 Year Supply Plan'!AV:AV)</f>
        <v>0</v>
      </c>
      <c r="CI18" s="35">
        <f t="shared" si="41"/>
        <v>0</v>
      </c>
      <c r="CJ18" s="35">
        <f>SUMIF('5 Year Supply Plan'!A:A,'JZ_BRAND SPLITS'!C18,'5 Year Supply Plan'!AW:AW)</f>
        <v>0</v>
      </c>
      <c r="CK18" s="35">
        <f t="shared" si="42"/>
        <v>0</v>
      </c>
      <c r="CL18" s="35">
        <f>SUMIF('5 Year Supply Plan'!A:A,'JZ_BRAND SPLITS'!C18,'5 Year Supply Plan'!AX:AX)</f>
        <v>0</v>
      </c>
      <c r="CM18" s="35">
        <f t="shared" si="43"/>
        <v>0</v>
      </c>
      <c r="CN18" s="35">
        <f>SUMIF('5 Year Supply Plan'!A:A,'JZ_BRAND SPLITS'!C18,'5 Year Supply Plan'!AY:AY)</f>
        <v>0</v>
      </c>
      <c r="CO18" s="35">
        <f t="shared" si="44"/>
        <v>0</v>
      </c>
      <c r="CP18" s="35">
        <f>SUMIF('5 Year Supply Plan'!A:A,'JZ_BRAND SPLITS'!C18,'5 Year Supply Plan'!AZ:AZ)</f>
        <v>0</v>
      </c>
      <c r="CQ18" s="35">
        <f t="shared" si="45"/>
        <v>0</v>
      </c>
      <c r="CR18" s="35">
        <f>SUMIF('5 Year Supply Plan'!A:A,'JZ_BRAND SPLITS'!C18,'5 Year Supply Plan'!BA:BA)</f>
        <v>0</v>
      </c>
      <c r="CS18" s="35">
        <f t="shared" si="46"/>
        <v>0</v>
      </c>
      <c r="CT18" s="35">
        <f>SUMIF('5 Year Supply Plan'!A:A,'JZ_BRAND SPLITS'!C18,'5 Year Supply Plan'!BB:BB)</f>
        <v>0</v>
      </c>
      <c r="CU18" s="35">
        <f t="shared" si="47"/>
        <v>0</v>
      </c>
      <c r="CV18" s="35">
        <f>SUMIF('5 Year Supply Plan'!A:A,'JZ_BRAND SPLITS'!C18,'5 Year Supply Plan'!BC:BC)</f>
        <v>0</v>
      </c>
      <c r="CW18" s="35">
        <f t="shared" si="48"/>
        <v>0</v>
      </c>
      <c r="CX18" s="35">
        <f>SUMIF('5 Year Supply Plan'!A:A,'JZ_BRAND SPLITS'!C18,'5 Year Supply Plan'!BD:BD)</f>
        <v>0</v>
      </c>
      <c r="CY18" s="35">
        <f t="shared" si="49"/>
        <v>0</v>
      </c>
      <c r="CZ18" s="35">
        <f>SUMIF('5 Year Supply Plan'!A:A,'JZ_BRAND SPLITS'!C18,'5 Year Supply Plan'!BE:BE)</f>
        <v>0</v>
      </c>
      <c r="DA18" s="35">
        <f t="shared" si="50"/>
        <v>0</v>
      </c>
      <c r="DB18" s="35">
        <f>SUMIF('5 Year Supply Plan'!A:A,'JZ_BRAND SPLITS'!C18,'5 Year Supply Plan'!BF:BF)</f>
        <v>0</v>
      </c>
      <c r="DC18" s="35">
        <f t="shared" si="51"/>
        <v>0</v>
      </c>
      <c r="DD18" s="35">
        <f>SUMIF('5 Year Supply Plan'!A:A,'JZ_BRAND SPLITS'!C18,'5 Year Supply Plan'!BG:BG)</f>
        <v>0</v>
      </c>
      <c r="DE18" s="35">
        <f t="shared" si="52"/>
        <v>0</v>
      </c>
      <c r="DF18" s="35">
        <f>SUMIF('5 Year Supply Plan'!A:A,'JZ_BRAND SPLITS'!C18,'5 Year Supply Plan'!BH:BH)</f>
        <v>0</v>
      </c>
      <c r="DG18" s="35">
        <f t="shared" si="53"/>
        <v>0</v>
      </c>
      <c r="DH18" s="35">
        <f>SUMIF('5 Year Supply Plan'!A:A,'JZ_BRAND SPLITS'!C18,'5 Year Supply Plan'!BI:BI)</f>
        <v>0</v>
      </c>
      <c r="DI18" s="35">
        <f t="shared" si="54"/>
        <v>0</v>
      </c>
      <c r="DJ18" s="35">
        <f>SUMIF('5 Year Supply Plan'!A:A,'JZ_BRAND SPLITS'!C18,'5 Year Supply Plan'!BJ:BJ)</f>
        <v>0</v>
      </c>
      <c r="DK18" s="35">
        <f t="shared" si="55"/>
        <v>0</v>
      </c>
      <c r="DL18" s="35">
        <f>SUMIF('5 Year Supply Plan'!A:A,'JZ_BRAND SPLITS'!C18,'5 Year Supply Plan'!BK:BK)</f>
        <v>0</v>
      </c>
      <c r="DM18" s="35">
        <f t="shared" si="56"/>
        <v>0</v>
      </c>
      <c r="DN18" s="42">
        <f>SUMIF('5 Year Supply Plan'!A:A,'JZ_BRAND SPLITS'!C18,'5 Year Supply Plan'!BL:BL)</f>
        <v>0</v>
      </c>
      <c r="DO18" s="35">
        <f t="shared" si="57"/>
        <v>0</v>
      </c>
      <c r="DP18" s="35">
        <f>SUMIF('5 Year Supply Plan'!A:A,'JZ_BRAND SPLITS'!C18,'5 Year Supply Plan'!BM:BM)</f>
        <v>0</v>
      </c>
      <c r="DQ18" s="35">
        <f t="shared" si="58"/>
        <v>0</v>
      </c>
      <c r="DR18" s="35">
        <f>SUMIF('5 Year Supply Plan'!A:A,'JZ_BRAND SPLITS'!C18,'5 Year Supply Plan'!BN:BN)</f>
        <v>0</v>
      </c>
      <c r="DS18" s="35">
        <f t="shared" si="59"/>
        <v>0</v>
      </c>
      <c r="DT18" s="39">
        <f t="shared" si="60"/>
        <v>0</v>
      </c>
      <c r="DU18" s="36">
        <f>SUMIF('5 Year Supply Plan'!A:A,'JZ_BRAND SPLITS'!C18,'5 Year Supply Plan'!BO:BO)</f>
        <v>0</v>
      </c>
    </row>
    <row r="19" spans="1:125" x14ac:dyDescent="0.25">
      <c r="A19" s="40" t="s">
        <v>256</v>
      </c>
      <c r="B19" s="40" t="s">
        <v>257</v>
      </c>
      <c r="C19" s="40" t="s">
        <v>101</v>
      </c>
      <c r="D19" s="40" t="str">
        <f t="shared" si="0"/>
        <v>C03CSUPERTORQUE PLUS</v>
      </c>
      <c r="E19" s="41">
        <v>0.50641342530472166</v>
      </c>
      <c r="F19" s="35">
        <f>SUMIF('5 Year Supply Plan'!A:A,'JZ_BRAND SPLITS'!C19,'5 Year Supply Plan'!H:H)</f>
        <v>272655.75</v>
      </c>
      <c r="G19" s="35">
        <f t="shared" si="1"/>
        <v>138076.53228652786</v>
      </c>
      <c r="H19" s="35">
        <f>SUMIF('5 Year Supply Plan'!A:A,'JZ_BRAND SPLITS'!C19,'5 Year Supply Plan'!I:I)</f>
        <v>347864.875</v>
      </c>
      <c r="I19" s="35">
        <f t="shared" si="2"/>
        <v>176163.44289194883</v>
      </c>
      <c r="J19" s="35">
        <f>SUMIF('5 Year Supply Plan'!A:A,'JZ_BRAND SPLITS'!C19,'5 Year Supply Plan'!J:J)</f>
        <v>289887.375</v>
      </c>
      <c r="K19" s="35">
        <f t="shared" si="3"/>
        <v>146802.85852634435</v>
      </c>
      <c r="L19" s="35">
        <f>SUMIF('5 Year Supply Plan'!A:A,'JZ_BRAND SPLITS'!C19,'5 Year Supply Plan'!K:K)</f>
        <v>213242</v>
      </c>
      <c r="M19" s="35">
        <f t="shared" si="4"/>
        <v>107988.61163882946</v>
      </c>
      <c r="N19" s="35">
        <f>SUMIF('5 Year Supply Plan'!A:A,'JZ_BRAND SPLITS'!C19,'5 Year Supply Plan'!L:L)</f>
        <v>142365</v>
      </c>
      <c r="O19" s="35">
        <f t="shared" si="5"/>
        <v>72095.547293506694</v>
      </c>
      <c r="P19" s="35">
        <f>SUMIF('5 Year Supply Plan'!A:A,'JZ_BRAND SPLITS'!C19,'5 Year Supply Plan'!M:M)</f>
        <v>259108</v>
      </c>
      <c r="Q19" s="35">
        <f t="shared" si="6"/>
        <v>131215.76980385583</v>
      </c>
      <c r="R19" s="35">
        <f>SUMIF('5 Year Supply Plan'!A:A,'JZ_BRAND SPLITS'!C19,'5 Year Supply Plan'!N:N)</f>
        <v>262748</v>
      </c>
      <c r="S19" s="35">
        <f t="shared" si="7"/>
        <v>133059.11467196501</v>
      </c>
      <c r="T19" s="35">
        <f>SUMIF('5 Year Supply Plan'!A:A,'JZ_BRAND SPLITS'!C19,'5 Year Supply Plan'!O:O)</f>
        <v>267131</v>
      </c>
      <c r="U19" s="35">
        <f t="shared" si="8"/>
        <v>135278.7247150756</v>
      </c>
      <c r="V19" s="35">
        <f>SUMIF('5 Year Supply Plan'!A:A,'JZ_BRAND SPLITS'!C19,'5 Year Supply Plan'!P:P)</f>
        <v>261281</v>
      </c>
      <c r="W19" s="35">
        <f t="shared" si="9"/>
        <v>132316.20617704297</v>
      </c>
      <c r="X19" s="35">
        <f>SUMIF('5 Year Supply Plan'!A:A,'JZ_BRAND SPLITS'!C19,'5 Year Supply Plan'!Q:Q)</f>
        <v>235563</v>
      </c>
      <c r="Y19" s="35">
        <f t="shared" si="10"/>
        <v>119292.26570505615</v>
      </c>
      <c r="Z19" s="35">
        <f>SUMIF('5 Year Supply Plan'!A:A,'JZ_BRAND SPLITS'!C19,'5 Year Supply Plan'!R:R)</f>
        <v>225271</v>
      </c>
      <c r="AA19" s="35">
        <f t="shared" si="11"/>
        <v>114080.25873181995</v>
      </c>
      <c r="AB19" s="35">
        <f>SUMIF('5 Year Supply Plan'!A:A,'JZ_BRAND SPLITS'!C19,'5 Year Supply Plan'!S:S)</f>
        <v>267417</v>
      </c>
      <c r="AC19" s="35">
        <f t="shared" si="12"/>
        <v>135423.55895471276</v>
      </c>
      <c r="AD19" s="35">
        <f>SUMIF('5 Year Supply Plan'!A:A,'JZ_BRAND SPLITS'!C19,'5 Year Supply Plan'!T:T)</f>
        <v>262765</v>
      </c>
      <c r="AE19" s="35">
        <f t="shared" si="13"/>
        <v>133067.7237001952</v>
      </c>
      <c r="AF19" s="35">
        <f>SUMIF('5 Year Supply Plan'!A:A,'JZ_BRAND SPLITS'!C19,'5 Year Supply Plan'!U:U)</f>
        <v>249965</v>
      </c>
      <c r="AG19" s="35">
        <f t="shared" si="14"/>
        <v>126585.63185629476</v>
      </c>
      <c r="AH19" s="35">
        <f>SUMIF('5 Year Supply Plan'!A:A,'JZ_BRAND SPLITS'!C19,'5 Year Supply Plan'!V:V)</f>
        <v>273900</v>
      </c>
      <c r="AI19" s="35">
        <f t="shared" si="15"/>
        <v>138706.63719096326</v>
      </c>
      <c r="AJ19" s="35">
        <f>SUMIF('5 Year Supply Plan'!A:A,'JZ_BRAND SPLITS'!C19,'5 Year Supply Plan'!W:W)</f>
        <v>286162</v>
      </c>
      <c r="AK19" s="35">
        <f t="shared" si="16"/>
        <v>144916.27861204976</v>
      </c>
      <c r="AL19" s="35">
        <f>SUMIF('5 Year Supply Plan'!A:A,'JZ_BRAND SPLITS'!C19,'5 Year Supply Plan'!X:X)</f>
        <v>321354</v>
      </c>
      <c r="AM19" s="35">
        <f t="shared" si="17"/>
        <v>162737.97987537354</v>
      </c>
      <c r="AN19" s="35">
        <f>SUMIF('5 Year Supply Plan'!A:A,'JZ_BRAND SPLITS'!C19,'5 Year Supply Plan'!Y:Y)</f>
        <v>296819</v>
      </c>
      <c r="AO19" s="35">
        <f t="shared" si="18"/>
        <v>150313.12648552217</v>
      </c>
      <c r="AP19" s="35">
        <f>SUMIF('5 Year Supply Plan'!A:A,'JZ_BRAND SPLITS'!C19,'5 Year Supply Plan'!Z:Z)</f>
        <v>268018</v>
      </c>
      <c r="AQ19" s="35">
        <f t="shared" si="19"/>
        <v>135727.91342332089</v>
      </c>
      <c r="AR19" s="35">
        <f>SUMIF('5 Year Supply Plan'!A:A,'JZ_BRAND SPLITS'!C19,'5 Year Supply Plan'!AA:AA)</f>
        <v>273239</v>
      </c>
      <c r="AS19" s="35">
        <f t="shared" si="20"/>
        <v>138371.89791683684</v>
      </c>
      <c r="AT19" s="35">
        <f>SUMIF('5 Year Supply Plan'!A:A,'JZ_BRAND SPLITS'!C19,'5 Year Supply Plan'!AB:AB)</f>
        <v>268199</v>
      </c>
      <c r="AU19" s="35">
        <f t="shared" si="21"/>
        <v>135819.57425330105</v>
      </c>
      <c r="AV19" s="35">
        <f>SUMIF('5 Year Supply Plan'!A:A,'JZ_BRAND SPLITS'!C19,'5 Year Supply Plan'!AC:AC)</f>
        <v>240946</v>
      </c>
      <c r="AW19" s="35">
        <f t="shared" si="22"/>
        <v>122018.28917347146</v>
      </c>
      <c r="AX19" s="35">
        <f>SUMIF('5 Year Supply Plan'!A:A,'JZ_BRAND SPLITS'!C19,'5 Year Supply Plan'!AD:AD)</f>
        <v>230318</v>
      </c>
      <c r="AY19" s="35">
        <f t="shared" si="23"/>
        <v>116636.12728933289</v>
      </c>
      <c r="AZ19" s="35">
        <f>SUMIF('5 Year Supply Plan'!A:A,'JZ_BRAND SPLITS'!C19,'5 Year Supply Plan'!AE:AE)</f>
        <v>273429</v>
      </c>
      <c r="BA19" s="35">
        <f t="shared" si="24"/>
        <v>138468.11646764475</v>
      </c>
      <c r="BB19" s="35">
        <f>SUMIF('5 Year Supply Plan'!A:A,'JZ_BRAND SPLITS'!C19,'5 Year Supply Plan'!AF:AF)</f>
        <v>268682</v>
      </c>
      <c r="BC19" s="35">
        <f t="shared" si="25"/>
        <v>136064.17193772324</v>
      </c>
      <c r="BD19" s="35">
        <f>SUMIF('5 Year Supply Plan'!A:A,'JZ_BRAND SPLITS'!C19,'5 Year Supply Plan'!AG:AG)</f>
        <v>255680</v>
      </c>
      <c r="BE19" s="35">
        <f t="shared" si="26"/>
        <v>129479.78458191124</v>
      </c>
      <c r="BF19" s="35">
        <f>SUMIF('5 Year Supply Plan'!A:A,'JZ_BRAND SPLITS'!C19,'5 Year Supply Plan'!AH:AH)</f>
        <v>280032</v>
      </c>
      <c r="BG19" s="35">
        <f t="shared" si="27"/>
        <v>141811.96431493183</v>
      </c>
      <c r="BH19" s="35">
        <f>SUMIF('5 Year Supply Plan'!A:A,'JZ_BRAND SPLITS'!C19,'5 Year Supply Plan'!AI:AI)</f>
        <v>292479</v>
      </c>
      <c r="BI19" s="35">
        <f t="shared" si="28"/>
        <v>148115.29221969968</v>
      </c>
      <c r="BJ19" s="35">
        <f>SUMIF('5 Year Supply Plan'!A:A,'JZ_BRAND SPLITS'!C19,'5 Year Supply Plan'!AJ:AJ)</f>
        <v>328390</v>
      </c>
      <c r="BK19" s="35">
        <f t="shared" si="29"/>
        <v>166301.10473581756</v>
      </c>
      <c r="BL19" s="35">
        <f>SUMIF('5 Year Supply Plan'!A:A,'JZ_BRAND SPLITS'!C19,'5 Year Supply Plan'!AK:AK)</f>
        <v>303409</v>
      </c>
      <c r="BM19" s="35">
        <f t="shared" si="30"/>
        <v>153650.3909582803</v>
      </c>
      <c r="BN19" s="35">
        <f>SUMIF('5 Year Supply Plan'!A:A,'JZ_BRAND SPLITS'!C19,'5 Year Supply Plan'!AL:AL)</f>
        <v>273817</v>
      </c>
      <c r="BO19" s="35">
        <f t="shared" si="31"/>
        <v>138664.60487666298</v>
      </c>
      <c r="BP19" s="35">
        <f>SUMIF('5 Year Supply Plan'!A:A,'JZ_BRAND SPLITS'!C19,'5 Year Supply Plan'!AM:AM)</f>
        <v>277909</v>
      </c>
      <c r="BQ19" s="35">
        <f t="shared" si="32"/>
        <v>140736.8486130099</v>
      </c>
      <c r="BR19" s="35">
        <f>SUMIF('5 Year Supply Plan'!A:A,'JZ_BRAND SPLITS'!C19,'5 Year Supply Plan'!AN:AN)</f>
        <v>270924</v>
      </c>
      <c r="BS19" s="35">
        <f t="shared" si="33"/>
        <v>137199.55083725642</v>
      </c>
      <c r="BT19" s="35">
        <f>SUMIF('5 Year Supply Plan'!A:A,'JZ_BRAND SPLITS'!C19,'5 Year Supply Plan'!AO:AO)</f>
        <v>242486</v>
      </c>
      <c r="BU19" s="35">
        <f t="shared" si="34"/>
        <v>122798.16584844074</v>
      </c>
      <c r="BV19" s="35">
        <f>SUMIF('5 Year Supply Plan'!A:A,'JZ_BRAND SPLITS'!C19,'5 Year Supply Plan'!AP:AP)</f>
        <v>231946</v>
      </c>
      <c r="BW19" s="35">
        <f t="shared" si="35"/>
        <v>117460.56834572897</v>
      </c>
      <c r="BX19" s="35">
        <f>SUMIF('5 Year Supply Plan'!A:A,'JZ_BRAND SPLITS'!C19,'5 Year Supply Plan'!AQ:AQ)</f>
        <v>276074</v>
      </c>
      <c r="BY19" s="35">
        <f t="shared" si="36"/>
        <v>139807.57997757572</v>
      </c>
      <c r="BZ19" s="35">
        <f>SUMIF('5 Year Supply Plan'!A:A,'JZ_BRAND SPLITS'!C19,'5 Year Supply Plan'!AR:AR)</f>
        <v>270915</v>
      </c>
      <c r="CA19" s="35">
        <f t="shared" si="37"/>
        <v>137194.99311642867</v>
      </c>
      <c r="CB19" s="35">
        <f>SUMIF('5 Year Supply Plan'!A:A,'JZ_BRAND SPLITS'!C19,'5 Year Supply Plan'!AS:AS)</f>
        <v>258298</v>
      </c>
      <c r="CC19" s="35">
        <f t="shared" si="38"/>
        <v>130805.57492935899</v>
      </c>
      <c r="CD19" s="35">
        <f>SUMIF('5 Year Supply Plan'!A:A,'JZ_BRAND SPLITS'!C19,'5 Year Supply Plan'!AT:AT)</f>
        <v>282630</v>
      </c>
      <c r="CE19" s="35">
        <f t="shared" si="39"/>
        <v>143127.62639387348</v>
      </c>
      <c r="CF19" s="35">
        <f>SUMIF('5 Year Supply Plan'!A:A,'JZ_BRAND SPLITS'!C19,'5 Year Supply Plan'!AU:AU)</f>
        <v>296002</v>
      </c>
      <c r="CG19" s="35">
        <f t="shared" si="40"/>
        <v>149899.38671704821</v>
      </c>
      <c r="CH19" s="35">
        <f>SUMIF('5 Year Supply Plan'!A:A,'JZ_BRAND SPLITS'!C19,'5 Year Supply Plan'!AV:AV)</f>
        <v>333041</v>
      </c>
      <c r="CI19" s="35">
        <f t="shared" si="41"/>
        <v>168656.4335769098</v>
      </c>
      <c r="CJ19" s="35">
        <f>SUMIF('5 Year Supply Plan'!A:A,'JZ_BRAND SPLITS'!C19,'5 Year Supply Plan'!AW:AW)</f>
        <v>307502</v>
      </c>
      <c r="CK19" s="35">
        <f t="shared" si="42"/>
        <v>155723.14110805251</v>
      </c>
      <c r="CL19" s="35">
        <f>SUMIF('5 Year Supply Plan'!A:A,'JZ_BRAND SPLITS'!C19,'5 Year Supply Plan'!AX:AX)</f>
        <v>277173</v>
      </c>
      <c r="CM19" s="35">
        <f t="shared" si="43"/>
        <v>140364.12833198562</v>
      </c>
      <c r="CN19" s="35">
        <f>SUMIF('5 Year Supply Plan'!A:A,'JZ_BRAND SPLITS'!C19,'5 Year Supply Plan'!AY:AY)</f>
        <v>279507</v>
      </c>
      <c r="CO19" s="35">
        <f t="shared" si="44"/>
        <v>141546.09726664683</v>
      </c>
      <c r="CP19" s="35">
        <f>SUMIF('5 Year Supply Plan'!A:A,'JZ_BRAND SPLITS'!C19,'5 Year Supply Plan'!AZ:AZ)</f>
        <v>270460</v>
      </c>
      <c r="CQ19" s="35">
        <f t="shared" si="45"/>
        <v>136964.57500791503</v>
      </c>
      <c r="CR19" s="35">
        <f>SUMIF('5 Year Supply Plan'!A:A,'JZ_BRAND SPLITS'!C19,'5 Year Supply Plan'!BA:BA)</f>
        <v>239963</v>
      </c>
      <c r="CS19" s="35">
        <f t="shared" si="46"/>
        <v>121520.48477639693</v>
      </c>
      <c r="CT19" s="35">
        <f>SUMIF('5 Year Supply Plan'!A:A,'JZ_BRAND SPLITS'!C19,'5 Year Supply Plan'!BB:BB)</f>
        <v>229908</v>
      </c>
      <c r="CU19" s="35">
        <f t="shared" si="47"/>
        <v>116428.49778495794</v>
      </c>
      <c r="CV19" s="35">
        <f>SUMIF('5 Year Supply Plan'!A:A,'JZ_BRAND SPLITS'!C19,'5 Year Supply Plan'!BC:BC)</f>
        <v>275018</v>
      </c>
      <c r="CW19" s="35">
        <f t="shared" si="48"/>
        <v>139272.80740045395</v>
      </c>
      <c r="CX19" s="35">
        <f>SUMIF('5 Year Supply Plan'!A:A,'JZ_BRAND SPLITS'!C19,'5 Year Supply Plan'!BD:BD)</f>
        <v>269247</v>
      </c>
      <c r="CY19" s="35">
        <f t="shared" si="49"/>
        <v>136350.29552302038</v>
      </c>
      <c r="CZ19" s="35">
        <f>SUMIF('5 Year Supply Plan'!A:A,'JZ_BRAND SPLITS'!C19,'5 Year Supply Plan'!BE:BE)</f>
        <v>258031</v>
      </c>
      <c r="DA19" s="35">
        <f t="shared" si="50"/>
        <v>130670.36254480263</v>
      </c>
      <c r="DB19" s="35">
        <f>SUMIF('5 Year Supply Plan'!A:A,'JZ_BRAND SPLITS'!C19,'5 Year Supply Plan'!BF:BF)</f>
        <v>281553</v>
      </c>
      <c r="DC19" s="35">
        <f t="shared" si="51"/>
        <v>142582.21913482031</v>
      </c>
      <c r="DD19" s="35">
        <f>SUMIF('5 Year Supply Plan'!A:A,'JZ_BRAND SPLITS'!C19,'5 Year Supply Plan'!BG:BG)</f>
        <v>296398</v>
      </c>
      <c r="DE19" s="35">
        <f t="shared" si="52"/>
        <v>150099.92643346888</v>
      </c>
      <c r="DF19" s="35">
        <f>SUMIF('5 Year Supply Plan'!A:A,'JZ_BRAND SPLITS'!C19,'5 Year Supply Plan'!BH:BH)</f>
        <v>335247</v>
      </c>
      <c r="DG19" s="35">
        <f t="shared" si="53"/>
        <v>169773.58159313202</v>
      </c>
      <c r="DH19" s="35">
        <f>SUMIF('5 Year Supply Plan'!A:A,'JZ_BRAND SPLITS'!C19,'5 Year Supply Plan'!BI:BI)</f>
        <v>318415</v>
      </c>
      <c r="DI19" s="35">
        <f t="shared" si="54"/>
        <v>161249.63081840295</v>
      </c>
      <c r="DJ19" s="35">
        <f>SUMIF('5 Year Supply Plan'!A:A,'JZ_BRAND SPLITS'!C19,'5 Year Supply Plan'!BJ:BJ)</f>
        <v>300240</v>
      </c>
      <c r="DK19" s="35">
        <f t="shared" si="55"/>
        <v>152045.56681348963</v>
      </c>
      <c r="DL19" s="35">
        <f>SUMIF('5 Year Supply Plan'!A:A,'JZ_BRAND SPLITS'!C19,'5 Year Supply Plan'!BK:BK)</f>
        <v>307169</v>
      </c>
      <c r="DM19" s="35">
        <f t="shared" si="56"/>
        <v>155554.50543742604</v>
      </c>
      <c r="DN19" s="42">
        <f>SUMIF('5 Year Supply Plan'!A:A,'JZ_BRAND SPLITS'!C19,'5 Year Supply Plan'!BL:BL)</f>
        <v>318606</v>
      </c>
      <c r="DO19" s="35">
        <f t="shared" si="57"/>
        <v>161346.35578263615</v>
      </c>
      <c r="DP19" s="35">
        <f>SUMIF('5 Year Supply Plan'!A:A,'JZ_BRAND SPLITS'!C19,'5 Year Supply Plan'!BM:BM)</f>
        <v>295787.5</v>
      </c>
      <c r="DQ19" s="35">
        <f t="shared" si="58"/>
        <v>149790.76103732036</v>
      </c>
      <c r="DR19" s="35">
        <f>SUMIF('5 Year Supply Plan'!A:A,'JZ_BRAND SPLITS'!C19,'5 Year Supply Plan'!BN:BN)</f>
        <v>295787.5</v>
      </c>
      <c r="DS19" s="35">
        <f t="shared" si="59"/>
        <v>149790.76103732036</v>
      </c>
      <c r="DT19" s="39">
        <f t="shared" si="60"/>
        <v>8198009.927453897</v>
      </c>
      <c r="DU19" s="36">
        <f>SUMIF('5 Year Supply Plan'!A:A,'JZ_BRAND SPLITS'!C19,'5 Year Supply Plan'!BO:BO)</f>
        <v>16188374</v>
      </c>
    </row>
    <row r="20" spans="1:125" x14ac:dyDescent="0.25">
      <c r="A20" s="40" t="s">
        <v>258</v>
      </c>
      <c r="B20" s="40" t="s">
        <v>257</v>
      </c>
      <c r="C20" s="40" t="s">
        <v>99</v>
      </c>
      <c r="D20" s="40" t="str">
        <f t="shared" si="0"/>
        <v>C03DSUPERTORQUE</v>
      </c>
      <c r="E20" s="41">
        <v>0.1339507362359583</v>
      </c>
      <c r="F20" s="35">
        <f>SUMIF('5 Year Supply Plan'!A:A,'JZ_BRAND SPLITS'!C20,'5 Year Supply Plan'!H:H)</f>
        <v>40000.000976000003</v>
      </c>
      <c r="G20" s="35">
        <f t="shared" si="1"/>
        <v>5358.0295801742504</v>
      </c>
      <c r="H20" s="35">
        <f>SUMIF('5 Year Supply Plan'!A:A,'JZ_BRAND SPLITS'!C20,'5 Year Supply Plan'!I:I)</f>
        <v>48480</v>
      </c>
      <c r="I20" s="35">
        <f t="shared" si="2"/>
        <v>6493.9316927192585</v>
      </c>
      <c r="J20" s="35">
        <f>SUMIF('5 Year Supply Plan'!A:A,'JZ_BRAND SPLITS'!C20,'5 Year Supply Plan'!J:J)</f>
        <v>40400</v>
      </c>
      <c r="K20" s="35">
        <f t="shared" si="3"/>
        <v>5411.609743932715</v>
      </c>
      <c r="L20" s="35">
        <f>SUMIF('5 Year Supply Plan'!A:A,'JZ_BRAND SPLITS'!C20,'5 Year Supply Plan'!K:K)</f>
        <v>43923</v>
      </c>
      <c r="M20" s="35">
        <f t="shared" si="4"/>
        <v>5883.518187691996</v>
      </c>
      <c r="N20" s="35">
        <f>SUMIF('5 Year Supply Plan'!A:A,'JZ_BRAND SPLITS'!C20,'5 Year Supply Plan'!L:L)</f>
        <v>29824</v>
      </c>
      <c r="O20" s="35">
        <f t="shared" si="5"/>
        <v>3994.9467575012204</v>
      </c>
      <c r="P20" s="35">
        <f>SUMIF('5 Year Supply Plan'!A:A,'JZ_BRAND SPLITS'!C20,'5 Year Supply Plan'!M:M)</f>
        <v>45200</v>
      </c>
      <c r="Q20" s="35">
        <f t="shared" si="6"/>
        <v>6054.5732778653146</v>
      </c>
      <c r="R20" s="35">
        <f>SUMIF('5 Year Supply Plan'!A:A,'JZ_BRAND SPLITS'!C20,'5 Year Supply Plan'!N:N)</f>
        <v>40610</v>
      </c>
      <c r="S20" s="35">
        <f t="shared" si="7"/>
        <v>5439.7393985422668</v>
      </c>
      <c r="T20" s="35">
        <f>SUMIF('5 Year Supply Plan'!A:A,'JZ_BRAND SPLITS'!C20,'5 Year Supply Plan'!O:O)</f>
        <v>43590</v>
      </c>
      <c r="U20" s="35">
        <f t="shared" si="8"/>
        <v>5838.912592525422</v>
      </c>
      <c r="V20" s="35">
        <f>SUMIF('5 Year Supply Plan'!A:A,'JZ_BRAND SPLITS'!C20,'5 Year Supply Plan'!P:P)</f>
        <v>49005</v>
      </c>
      <c r="W20" s="35">
        <f t="shared" si="9"/>
        <v>6564.2558292431358</v>
      </c>
      <c r="X20" s="35">
        <f>SUMIF('5 Year Supply Plan'!A:A,'JZ_BRAND SPLITS'!C20,'5 Year Supply Plan'!Q:Q)</f>
        <v>42891</v>
      </c>
      <c r="Y20" s="35">
        <f t="shared" si="10"/>
        <v>5745.2810278964871</v>
      </c>
      <c r="Z20" s="35">
        <f>SUMIF('5 Year Supply Plan'!A:A,'JZ_BRAND SPLITS'!C20,'5 Year Supply Plan'!R:R)</f>
        <v>33429</v>
      </c>
      <c r="AA20" s="35">
        <f t="shared" si="11"/>
        <v>4477.8391616318495</v>
      </c>
      <c r="AB20" s="35">
        <f>SUMIF('5 Year Supply Plan'!A:A,'JZ_BRAND SPLITS'!C20,'5 Year Supply Plan'!S:S)</f>
        <v>44901</v>
      </c>
      <c r="AC20" s="35">
        <f t="shared" si="12"/>
        <v>6014.5220077307631</v>
      </c>
      <c r="AD20" s="35">
        <f>SUMIF('5 Year Supply Plan'!A:A,'JZ_BRAND SPLITS'!C20,'5 Year Supply Plan'!T:T)</f>
        <v>43437</v>
      </c>
      <c r="AE20" s="35">
        <f t="shared" si="13"/>
        <v>5818.4181298813201</v>
      </c>
      <c r="AF20" s="35">
        <f>SUMIF('5 Year Supply Plan'!A:A,'JZ_BRAND SPLITS'!C20,'5 Year Supply Plan'!U:U)</f>
        <v>42081</v>
      </c>
      <c r="AG20" s="35">
        <f t="shared" si="14"/>
        <v>5636.7809315453615</v>
      </c>
      <c r="AH20" s="35">
        <f>SUMIF('5 Year Supply Plan'!A:A,'JZ_BRAND SPLITS'!C20,'5 Year Supply Plan'!V:V)</f>
        <v>47014</v>
      </c>
      <c r="AI20" s="35">
        <f t="shared" si="15"/>
        <v>6297.5599133973437</v>
      </c>
      <c r="AJ20" s="35">
        <f>SUMIF('5 Year Supply Plan'!A:A,'JZ_BRAND SPLITS'!C20,'5 Year Supply Plan'!W:W)</f>
        <v>45695</v>
      </c>
      <c r="AK20" s="35">
        <f t="shared" si="16"/>
        <v>6120.8788923021139</v>
      </c>
      <c r="AL20" s="35">
        <f>SUMIF('5 Year Supply Plan'!A:A,'JZ_BRAND SPLITS'!C20,'5 Year Supply Plan'!X:X)</f>
        <v>51602</v>
      </c>
      <c r="AM20" s="35">
        <f t="shared" si="17"/>
        <v>6912.1258912479198</v>
      </c>
      <c r="AN20" s="35">
        <f>SUMIF('5 Year Supply Plan'!A:A,'JZ_BRAND SPLITS'!C20,'5 Year Supply Plan'!Y:Y)</f>
        <v>50623</v>
      </c>
      <c r="AO20" s="35">
        <f t="shared" si="18"/>
        <v>6780.9881204729172</v>
      </c>
      <c r="AP20" s="35">
        <f>SUMIF('5 Year Supply Plan'!A:A,'JZ_BRAND SPLITS'!C20,'5 Year Supply Plan'!Z:Z)</f>
        <v>45183</v>
      </c>
      <c r="AQ20" s="35">
        <f t="shared" si="19"/>
        <v>6052.2961153493034</v>
      </c>
      <c r="AR20" s="35">
        <f>SUMIF('5 Year Supply Plan'!A:A,'JZ_BRAND SPLITS'!C20,'5 Year Supply Plan'!AA:AA)</f>
        <v>46193</v>
      </c>
      <c r="AS20" s="35">
        <f t="shared" si="20"/>
        <v>6187.5863589476212</v>
      </c>
      <c r="AT20" s="35">
        <f>SUMIF('5 Year Supply Plan'!A:A,'JZ_BRAND SPLITS'!C20,'5 Year Supply Plan'!AB:AB)</f>
        <v>53659</v>
      </c>
      <c r="AU20" s="35">
        <f t="shared" si="21"/>
        <v>7187.662555685286</v>
      </c>
      <c r="AV20" s="35">
        <f>SUMIF('5 Year Supply Plan'!A:A,'JZ_BRAND SPLITS'!C20,'5 Year Supply Plan'!AC:AC)</f>
        <v>46879</v>
      </c>
      <c r="AW20" s="35">
        <f t="shared" si="22"/>
        <v>6279.4765640054893</v>
      </c>
      <c r="AX20" s="35">
        <f>SUMIF('5 Year Supply Plan'!A:A,'JZ_BRAND SPLITS'!C20,'5 Year Supply Plan'!AD:AD)</f>
        <v>36752</v>
      </c>
      <c r="AY20" s="35">
        <f t="shared" si="23"/>
        <v>4922.9574581439392</v>
      </c>
      <c r="AZ20" s="35">
        <f>SUMIF('5 Year Supply Plan'!A:A,'JZ_BRAND SPLITS'!C20,'5 Year Supply Plan'!AE:AE)</f>
        <v>49318</v>
      </c>
      <c r="BA20" s="35">
        <f t="shared" si="24"/>
        <v>6606.1824096849914</v>
      </c>
      <c r="BB20" s="35">
        <f>SUMIF('5 Year Supply Plan'!A:A,'JZ_BRAND SPLITS'!C20,'5 Year Supply Plan'!AF:AF)</f>
        <v>47672</v>
      </c>
      <c r="BC20" s="35">
        <f t="shared" si="25"/>
        <v>6385.6994978406037</v>
      </c>
      <c r="BD20" s="35">
        <f>SUMIF('5 Year Supply Plan'!A:A,'JZ_BRAND SPLITS'!C20,'5 Year Supply Plan'!AG:AG)</f>
        <v>46139</v>
      </c>
      <c r="BE20" s="35">
        <f t="shared" si="26"/>
        <v>6180.3530191908794</v>
      </c>
      <c r="BF20" s="35">
        <f>SUMIF('5 Year Supply Plan'!A:A,'JZ_BRAND SPLITS'!C20,'5 Year Supply Plan'!AH:AH)</f>
        <v>50972</v>
      </c>
      <c r="BG20" s="35">
        <f t="shared" si="27"/>
        <v>6827.7369274192661</v>
      </c>
      <c r="BH20" s="35">
        <f>SUMIF('5 Year Supply Plan'!A:A,'JZ_BRAND SPLITS'!C20,'5 Year Supply Plan'!AI:AI)</f>
        <v>49658</v>
      </c>
      <c r="BI20" s="35">
        <f t="shared" si="28"/>
        <v>6651.7256600052169</v>
      </c>
      <c r="BJ20" s="35">
        <f>SUMIF('5 Year Supply Plan'!A:A,'JZ_BRAND SPLITS'!C20,'5 Year Supply Plan'!AJ:AJ)</f>
        <v>56104</v>
      </c>
      <c r="BK20" s="35">
        <f t="shared" si="29"/>
        <v>7515.1721057822042</v>
      </c>
      <c r="BL20" s="35">
        <f>SUMIF('5 Year Supply Plan'!A:A,'JZ_BRAND SPLITS'!C20,'5 Year Supply Plan'!AK:AK)</f>
        <v>54915</v>
      </c>
      <c r="BM20" s="35">
        <f t="shared" si="30"/>
        <v>7355.9046803976498</v>
      </c>
      <c r="BN20" s="35">
        <f>SUMIF('5 Year Supply Plan'!A:A,'JZ_BRAND SPLITS'!C20,'5 Year Supply Plan'!AL:AL)</f>
        <v>48840</v>
      </c>
      <c r="BO20" s="35">
        <f t="shared" si="31"/>
        <v>6542.1539577642034</v>
      </c>
      <c r="BP20" s="35">
        <f>SUMIF('5 Year Supply Plan'!A:A,'JZ_BRAND SPLITS'!C20,'5 Year Supply Plan'!AM:AM)</f>
        <v>50041</v>
      </c>
      <c r="BQ20" s="35">
        <f t="shared" si="32"/>
        <v>6703.0287919835891</v>
      </c>
      <c r="BR20" s="35">
        <f>SUMIF('5 Year Supply Plan'!A:A,'JZ_BRAND SPLITS'!C20,'5 Year Supply Plan'!AN:AN)</f>
        <v>58115</v>
      </c>
      <c r="BS20" s="35">
        <f t="shared" si="33"/>
        <v>7784.5470363527165</v>
      </c>
      <c r="BT20" s="35">
        <f>SUMIF('5 Year Supply Plan'!A:A,'JZ_BRAND SPLITS'!C20,'5 Year Supply Plan'!AO:AO)</f>
        <v>49155</v>
      </c>
      <c r="BU20" s="35">
        <f t="shared" si="34"/>
        <v>6584.3484396785298</v>
      </c>
      <c r="BV20" s="35">
        <f>SUMIF('5 Year Supply Plan'!A:A,'JZ_BRAND SPLITS'!C20,'5 Year Supply Plan'!AP:AP)</f>
        <v>38565</v>
      </c>
      <c r="BW20" s="35">
        <f t="shared" si="35"/>
        <v>5165.810142939732</v>
      </c>
      <c r="BX20" s="35">
        <f>SUMIF('5 Year Supply Plan'!A:A,'JZ_BRAND SPLITS'!C20,'5 Year Supply Plan'!AQ:AQ)</f>
        <v>51745</v>
      </c>
      <c r="BY20" s="35">
        <f t="shared" si="36"/>
        <v>6931.2808465296621</v>
      </c>
      <c r="BZ20" s="35">
        <f>SUMIF('5 Year Supply Plan'!A:A,'JZ_BRAND SPLITS'!C20,'5 Year Supply Plan'!AR:AR)</f>
        <v>50006</v>
      </c>
      <c r="CA20" s="35">
        <f t="shared" si="37"/>
        <v>6698.3405162153304</v>
      </c>
      <c r="CB20" s="35">
        <f>SUMIF('5 Year Supply Plan'!A:A,'JZ_BRAND SPLITS'!C20,'5 Year Supply Plan'!AS:AS)</f>
        <v>48390</v>
      </c>
      <c r="CC20" s="35">
        <f t="shared" si="38"/>
        <v>6481.8761264580216</v>
      </c>
      <c r="CD20" s="35">
        <f>SUMIF('5 Year Supply Plan'!A:A,'JZ_BRAND SPLITS'!C20,'5 Year Supply Plan'!AT:AT)</f>
        <v>53358</v>
      </c>
      <c r="CE20" s="35">
        <f t="shared" si="39"/>
        <v>7147.3433840782627</v>
      </c>
      <c r="CF20" s="35">
        <f>SUMIF('5 Year Supply Plan'!A:A,'JZ_BRAND SPLITS'!C20,'5 Year Supply Plan'!AU:AU)</f>
        <v>52005</v>
      </c>
      <c r="CG20" s="35">
        <f t="shared" si="40"/>
        <v>6966.1080379510113</v>
      </c>
      <c r="CH20" s="35">
        <f>SUMIF('5 Year Supply Plan'!A:A,'JZ_BRAND SPLITS'!C20,'5 Year Supply Plan'!AV:AV)</f>
        <v>58755</v>
      </c>
      <c r="CI20" s="35">
        <f t="shared" si="41"/>
        <v>7870.2755075437299</v>
      </c>
      <c r="CJ20" s="35">
        <f>SUMIF('5 Year Supply Plan'!A:A,'JZ_BRAND SPLITS'!C20,'5 Year Supply Plan'!AW:AW)</f>
        <v>57487</v>
      </c>
      <c r="CK20" s="35">
        <f t="shared" si="42"/>
        <v>7700.4259739965346</v>
      </c>
      <c r="CL20" s="35">
        <f>SUMIF('5 Year Supply Plan'!A:A,'JZ_BRAND SPLITS'!C20,'5 Year Supply Plan'!AX:AX)</f>
        <v>51092</v>
      </c>
      <c r="CM20" s="35">
        <f t="shared" si="43"/>
        <v>6843.811015767581</v>
      </c>
      <c r="CN20" s="35">
        <f>SUMIF('5 Year Supply Plan'!A:A,'JZ_BRAND SPLITS'!C20,'5 Year Supply Plan'!AY:AY)</f>
        <v>52393</v>
      </c>
      <c r="CO20" s="35">
        <f t="shared" si="44"/>
        <v>7018.0809236105633</v>
      </c>
      <c r="CP20" s="35">
        <f>SUMIF('5 Year Supply Plan'!A:A,'JZ_BRAND SPLITS'!C20,'5 Year Supply Plan'!AZ:AZ)</f>
        <v>61694</v>
      </c>
      <c r="CQ20" s="35">
        <f t="shared" si="45"/>
        <v>8263.956721341212</v>
      </c>
      <c r="CR20" s="35">
        <f>SUMIF('5 Year Supply Plan'!A:A,'JZ_BRAND SPLITS'!C20,'5 Year Supply Plan'!BA:BA)</f>
        <v>52098</v>
      </c>
      <c r="CS20" s="35">
        <f t="shared" si="46"/>
        <v>6978.5654564209553</v>
      </c>
      <c r="CT20" s="35">
        <f>SUMIF('5 Year Supply Plan'!A:A,'JZ_BRAND SPLITS'!C20,'5 Year Supply Plan'!BB:BB)</f>
        <v>41059</v>
      </c>
      <c r="CU20" s="35">
        <f t="shared" si="47"/>
        <v>5499.8832791122113</v>
      </c>
      <c r="CV20" s="35">
        <f>SUMIF('5 Year Supply Plan'!A:A,'JZ_BRAND SPLITS'!C20,'5 Year Supply Plan'!BC:BC)</f>
        <v>55077</v>
      </c>
      <c r="CW20" s="35">
        <f t="shared" si="48"/>
        <v>7377.6046996678751</v>
      </c>
      <c r="CX20" s="35">
        <f>SUMIF('5 Year Supply Plan'!A:A,'JZ_BRAND SPLITS'!C20,'5 Year Supply Plan'!BD:BD)</f>
        <v>53243</v>
      </c>
      <c r="CY20" s="35">
        <f t="shared" si="49"/>
        <v>7131.9390494111276</v>
      </c>
      <c r="CZ20" s="35">
        <f>SUMIF('5 Year Supply Plan'!A:A,'JZ_BRAND SPLITS'!C20,'5 Year Supply Plan'!BE:BE)</f>
        <v>51565</v>
      </c>
      <c r="DA20" s="35">
        <f t="shared" si="50"/>
        <v>6907.1697140071892</v>
      </c>
      <c r="DB20" s="35">
        <f>SUMIF('5 Year Supply Plan'!A:A,'JZ_BRAND SPLITS'!C20,'5 Year Supply Plan'!BF:BF)</f>
        <v>56643</v>
      </c>
      <c r="DC20" s="35">
        <f t="shared" si="51"/>
        <v>7587.3715526133856</v>
      </c>
      <c r="DD20" s="35">
        <f>SUMIF('5 Year Supply Plan'!A:A,'JZ_BRAND SPLITS'!C20,'5 Year Supply Plan'!BG:BG)</f>
        <v>55261</v>
      </c>
      <c r="DE20" s="35">
        <f t="shared" si="52"/>
        <v>7402.2516351352915</v>
      </c>
      <c r="DF20" s="35">
        <f>SUMIF('5 Year Supply Plan'!A:A,'JZ_BRAND SPLITS'!C20,'5 Year Supply Plan'!BH:BH)</f>
        <v>62482</v>
      </c>
      <c r="DG20" s="35">
        <f t="shared" si="53"/>
        <v>8369.5099014951466</v>
      </c>
      <c r="DH20" s="35">
        <f>SUMIF('5 Year Supply Plan'!A:A,'JZ_BRAND SPLITS'!C20,'5 Year Supply Plan'!BI:BI)</f>
        <v>61149</v>
      </c>
      <c r="DI20" s="35">
        <f t="shared" si="54"/>
        <v>8190.9535700926135</v>
      </c>
      <c r="DJ20" s="35">
        <f>SUMIF('5 Year Supply Plan'!A:A,'JZ_BRAND SPLITS'!C20,'5 Year Supply Plan'!BJ:BJ)</f>
        <v>54221</v>
      </c>
      <c r="DK20" s="35">
        <f t="shared" si="55"/>
        <v>7262.9428694498947</v>
      </c>
      <c r="DL20" s="35">
        <f>SUMIF('5 Year Supply Plan'!A:A,'JZ_BRAND SPLITS'!C20,'5 Year Supply Plan'!BK:BK)</f>
        <v>54952</v>
      </c>
      <c r="DM20" s="35">
        <f t="shared" si="56"/>
        <v>7360.8608576383804</v>
      </c>
      <c r="DN20" s="42">
        <f>SUMIF('5 Year Supply Plan'!A:A,'JZ_BRAND SPLITS'!C20,'5 Year Supply Plan'!BL:BL)</f>
        <v>62681</v>
      </c>
      <c r="DO20" s="35">
        <f t="shared" si="57"/>
        <v>8396.1660980061024</v>
      </c>
      <c r="DP20" s="35">
        <f>SUMIF('5 Year Supply Plan'!A:A,'JZ_BRAND SPLITS'!C20,'5 Year Supply Plan'!BM:BM)</f>
        <v>56189.5</v>
      </c>
      <c r="DQ20" s="35">
        <f t="shared" si="58"/>
        <v>7526.624893730379</v>
      </c>
      <c r="DR20" s="35">
        <f>SUMIF('5 Year Supply Plan'!A:A,'JZ_BRAND SPLITS'!C20,'5 Year Supply Plan'!BN:BN)</f>
        <v>56189.5</v>
      </c>
      <c r="DS20" s="35">
        <f t="shared" si="59"/>
        <v>7526.624893730379</v>
      </c>
      <c r="DT20" s="39">
        <f t="shared" si="60"/>
        <v>391216.5203814758</v>
      </c>
      <c r="DU20" s="36">
        <f>SUMIF('5 Year Supply Plan'!A:A,'JZ_BRAND SPLITS'!C20,'5 Year Supply Plan'!BO:BO)</f>
        <v>2920600.000976</v>
      </c>
    </row>
    <row r="21" spans="1:125" x14ac:dyDescent="0.25">
      <c r="A21" s="40" t="s">
        <v>259</v>
      </c>
      <c r="B21" s="40" t="s">
        <v>257</v>
      </c>
      <c r="C21" s="40" t="s">
        <v>99</v>
      </c>
      <c r="D21" s="40" t="str">
        <f t="shared" si="0"/>
        <v>C03ESUPERTORQUE</v>
      </c>
      <c r="E21" s="41">
        <v>0.16856346138586928</v>
      </c>
      <c r="F21" s="35">
        <f>SUMIF('5 Year Supply Plan'!A:A,'JZ_BRAND SPLITS'!C21,'5 Year Supply Plan'!H:H)</f>
        <v>40000.000976000003</v>
      </c>
      <c r="G21" s="35">
        <f t="shared" si="1"/>
        <v>6742.5386199527102</v>
      </c>
      <c r="H21" s="35">
        <f>SUMIF('5 Year Supply Plan'!A:A,'JZ_BRAND SPLITS'!C21,'5 Year Supply Plan'!I:I)</f>
        <v>48480</v>
      </c>
      <c r="I21" s="35">
        <f t="shared" si="2"/>
        <v>8171.9566079869428</v>
      </c>
      <c r="J21" s="35">
        <f>SUMIF('5 Year Supply Plan'!A:A,'JZ_BRAND SPLITS'!C21,'5 Year Supply Plan'!J:J)</f>
        <v>40400</v>
      </c>
      <c r="K21" s="35">
        <f t="shared" si="3"/>
        <v>6809.9638399891192</v>
      </c>
      <c r="L21" s="35">
        <f>SUMIF('5 Year Supply Plan'!A:A,'JZ_BRAND SPLITS'!C21,'5 Year Supply Plan'!K:K)</f>
        <v>43923</v>
      </c>
      <c r="M21" s="35">
        <f t="shared" si="4"/>
        <v>7403.812914451536</v>
      </c>
      <c r="N21" s="35">
        <f>SUMIF('5 Year Supply Plan'!A:A,'JZ_BRAND SPLITS'!C21,'5 Year Supply Plan'!L:L)</f>
        <v>29824</v>
      </c>
      <c r="O21" s="35">
        <f t="shared" si="5"/>
        <v>5027.2366723721652</v>
      </c>
      <c r="P21" s="35">
        <f>SUMIF('5 Year Supply Plan'!A:A,'JZ_BRAND SPLITS'!C21,'5 Year Supply Plan'!M:M)</f>
        <v>45200</v>
      </c>
      <c r="Q21" s="35">
        <f t="shared" si="6"/>
        <v>7619.0684546412913</v>
      </c>
      <c r="R21" s="35">
        <f>SUMIF('5 Year Supply Plan'!A:A,'JZ_BRAND SPLITS'!C21,'5 Year Supply Plan'!N:N)</f>
        <v>40610</v>
      </c>
      <c r="S21" s="35">
        <f t="shared" si="7"/>
        <v>6845.3621668801516</v>
      </c>
      <c r="T21" s="35">
        <f>SUMIF('5 Year Supply Plan'!A:A,'JZ_BRAND SPLITS'!C21,'5 Year Supply Plan'!O:O)</f>
        <v>43590</v>
      </c>
      <c r="U21" s="35">
        <f t="shared" si="8"/>
        <v>7347.6812818100416</v>
      </c>
      <c r="V21" s="35">
        <f>SUMIF('5 Year Supply Plan'!A:A,'JZ_BRAND SPLITS'!C21,'5 Year Supply Plan'!P:P)</f>
        <v>49005</v>
      </c>
      <c r="W21" s="35">
        <f t="shared" si="9"/>
        <v>8260.4524252145238</v>
      </c>
      <c r="X21" s="35">
        <f>SUMIF('5 Year Supply Plan'!A:A,'JZ_BRAND SPLITS'!C21,'5 Year Supply Plan'!Q:Q)</f>
        <v>42891</v>
      </c>
      <c r="Y21" s="35">
        <f t="shared" si="10"/>
        <v>7229.8554223013189</v>
      </c>
      <c r="Z21" s="35">
        <f>SUMIF('5 Year Supply Plan'!A:A,'JZ_BRAND SPLITS'!C21,'5 Year Supply Plan'!R:R)</f>
        <v>33429</v>
      </c>
      <c r="AA21" s="35">
        <f t="shared" si="11"/>
        <v>5634.9079506682237</v>
      </c>
      <c r="AB21" s="35">
        <f>SUMIF('5 Year Supply Plan'!A:A,'JZ_BRAND SPLITS'!C21,'5 Year Supply Plan'!S:S)</f>
        <v>44901</v>
      </c>
      <c r="AC21" s="35">
        <f t="shared" si="12"/>
        <v>7568.6679796869166</v>
      </c>
      <c r="AD21" s="35">
        <f>SUMIF('5 Year Supply Plan'!A:A,'JZ_BRAND SPLITS'!C21,'5 Year Supply Plan'!T:T)</f>
        <v>43437</v>
      </c>
      <c r="AE21" s="35">
        <f t="shared" si="13"/>
        <v>7321.8910722180035</v>
      </c>
      <c r="AF21" s="35">
        <f>SUMIF('5 Year Supply Plan'!A:A,'JZ_BRAND SPLITS'!C21,'5 Year Supply Plan'!U:U)</f>
        <v>42081</v>
      </c>
      <c r="AG21" s="35">
        <f t="shared" si="14"/>
        <v>7093.3190185787653</v>
      </c>
      <c r="AH21" s="35">
        <f>SUMIF('5 Year Supply Plan'!A:A,'JZ_BRAND SPLITS'!C21,'5 Year Supply Plan'!V:V)</f>
        <v>47014</v>
      </c>
      <c r="AI21" s="35">
        <f t="shared" si="15"/>
        <v>7924.8425735952578</v>
      </c>
      <c r="AJ21" s="35">
        <f>SUMIF('5 Year Supply Plan'!A:A,'JZ_BRAND SPLITS'!C21,'5 Year Supply Plan'!W:W)</f>
        <v>45695</v>
      </c>
      <c r="AK21" s="35">
        <f t="shared" si="16"/>
        <v>7702.5073680272963</v>
      </c>
      <c r="AL21" s="35">
        <f>SUMIF('5 Year Supply Plan'!A:A,'JZ_BRAND SPLITS'!C21,'5 Year Supply Plan'!X:X)</f>
        <v>51602</v>
      </c>
      <c r="AM21" s="35">
        <f t="shared" si="17"/>
        <v>8698.2117344336257</v>
      </c>
      <c r="AN21" s="35">
        <f>SUMIF('5 Year Supply Plan'!A:A,'JZ_BRAND SPLITS'!C21,'5 Year Supply Plan'!Y:Y)</f>
        <v>50623</v>
      </c>
      <c r="AO21" s="35">
        <f t="shared" si="18"/>
        <v>8533.188105736861</v>
      </c>
      <c r="AP21" s="35">
        <f>SUMIF('5 Year Supply Plan'!A:A,'JZ_BRAND SPLITS'!C21,'5 Year Supply Plan'!Z:Z)</f>
        <v>45183</v>
      </c>
      <c r="AQ21" s="35">
        <f t="shared" si="19"/>
        <v>7616.2028757977314</v>
      </c>
      <c r="AR21" s="35">
        <f>SUMIF('5 Year Supply Plan'!A:A,'JZ_BRAND SPLITS'!C21,'5 Year Supply Plan'!AA:AA)</f>
        <v>46193</v>
      </c>
      <c r="AS21" s="35">
        <f t="shared" si="20"/>
        <v>7786.4519717974599</v>
      </c>
      <c r="AT21" s="35">
        <f>SUMIF('5 Year Supply Plan'!A:A,'JZ_BRAND SPLITS'!C21,'5 Year Supply Plan'!AB:AB)</f>
        <v>53659</v>
      </c>
      <c r="AU21" s="35">
        <f t="shared" si="21"/>
        <v>9044.9467745043603</v>
      </c>
      <c r="AV21" s="35">
        <f>SUMIF('5 Year Supply Plan'!A:A,'JZ_BRAND SPLITS'!C21,'5 Year Supply Plan'!AC:AC)</f>
        <v>46879</v>
      </c>
      <c r="AW21" s="35">
        <f t="shared" si="22"/>
        <v>7902.0865063081656</v>
      </c>
      <c r="AX21" s="35">
        <f>SUMIF('5 Year Supply Plan'!A:A,'JZ_BRAND SPLITS'!C21,'5 Year Supply Plan'!AD:AD)</f>
        <v>36752</v>
      </c>
      <c r="AY21" s="35">
        <f t="shared" si="23"/>
        <v>6195.0443328534675</v>
      </c>
      <c r="AZ21" s="35">
        <f>SUMIF('5 Year Supply Plan'!A:A,'JZ_BRAND SPLITS'!C21,'5 Year Supply Plan'!AE:AE)</f>
        <v>49318</v>
      </c>
      <c r="BA21" s="35">
        <f t="shared" si="24"/>
        <v>8313.2127886283015</v>
      </c>
      <c r="BB21" s="35">
        <f>SUMIF('5 Year Supply Plan'!A:A,'JZ_BRAND SPLITS'!C21,'5 Year Supply Plan'!AF:AF)</f>
        <v>47672</v>
      </c>
      <c r="BC21" s="35">
        <f t="shared" si="25"/>
        <v>8035.7573311871602</v>
      </c>
      <c r="BD21" s="35">
        <f>SUMIF('5 Year Supply Plan'!A:A,'JZ_BRAND SPLITS'!C21,'5 Year Supply Plan'!AG:AG)</f>
        <v>46139</v>
      </c>
      <c r="BE21" s="35">
        <f t="shared" si="26"/>
        <v>7777.3495448826225</v>
      </c>
      <c r="BF21" s="35">
        <f>SUMIF('5 Year Supply Plan'!A:A,'JZ_BRAND SPLITS'!C21,'5 Year Supply Plan'!AH:AH)</f>
        <v>50972</v>
      </c>
      <c r="BG21" s="35">
        <f t="shared" si="27"/>
        <v>8592.0167537605284</v>
      </c>
      <c r="BH21" s="35">
        <f>SUMIF('5 Year Supply Plan'!A:A,'JZ_BRAND SPLITS'!C21,'5 Year Supply Plan'!AI:AI)</f>
        <v>49658</v>
      </c>
      <c r="BI21" s="35">
        <f t="shared" si="28"/>
        <v>8370.5243654994974</v>
      </c>
      <c r="BJ21" s="35">
        <f>SUMIF('5 Year Supply Plan'!A:A,'JZ_BRAND SPLITS'!C21,'5 Year Supply Plan'!AJ:AJ)</f>
        <v>56104</v>
      </c>
      <c r="BK21" s="35">
        <f t="shared" si="29"/>
        <v>9457.08443759281</v>
      </c>
      <c r="BL21" s="35">
        <f>SUMIF('5 Year Supply Plan'!A:A,'JZ_BRAND SPLITS'!C21,'5 Year Supply Plan'!AK:AK)</f>
        <v>54915</v>
      </c>
      <c r="BM21" s="35">
        <f t="shared" si="30"/>
        <v>9256.662482005011</v>
      </c>
      <c r="BN21" s="35">
        <f>SUMIF('5 Year Supply Plan'!A:A,'JZ_BRAND SPLITS'!C21,'5 Year Supply Plan'!AL:AL)</f>
        <v>48840</v>
      </c>
      <c r="BO21" s="35">
        <f t="shared" si="31"/>
        <v>8232.6394540858564</v>
      </c>
      <c r="BP21" s="35">
        <f>SUMIF('5 Year Supply Plan'!A:A,'JZ_BRAND SPLITS'!C21,'5 Year Supply Plan'!AM:AM)</f>
        <v>50041</v>
      </c>
      <c r="BQ21" s="35">
        <f t="shared" si="32"/>
        <v>8435.0841712102847</v>
      </c>
      <c r="BR21" s="35">
        <f>SUMIF('5 Year Supply Plan'!A:A,'JZ_BRAND SPLITS'!C21,'5 Year Supply Plan'!AN:AN)</f>
        <v>58115</v>
      </c>
      <c r="BS21" s="35">
        <f t="shared" si="33"/>
        <v>9796.0655584397937</v>
      </c>
      <c r="BT21" s="35">
        <f>SUMIF('5 Year Supply Plan'!A:A,'JZ_BRAND SPLITS'!C21,'5 Year Supply Plan'!AO:AO)</f>
        <v>49155</v>
      </c>
      <c r="BU21" s="35">
        <f t="shared" si="34"/>
        <v>8285.7369444224041</v>
      </c>
      <c r="BV21" s="35">
        <f>SUMIF('5 Year Supply Plan'!A:A,'JZ_BRAND SPLITS'!C21,'5 Year Supply Plan'!AP:AP)</f>
        <v>38565</v>
      </c>
      <c r="BW21" s="35">
        <f t="shared" si="35"/>
        <v>6500.649888346049</v>
      </c>
      <c r="BX21" s="35">
        <f>SUMIF('5 Year Supply Plan'!A:A,'JZ_BRAND SPLITS'!C21,'5 Year Supply Plan'!AQ:AQ)</f>
        <v>51745</v>
      </c>
      <c r="BY21" s="35">
        <f t="shared" si="36"/>
        <v>8722.3163094118063</v>
      </c>
      <c r="BZ21" s="35">
        <f>SUMIF('5 Year Supply Plan'!A:A,'JZ_BRAND SPLITS'!C21,'5 Year Supply Plan'!AR:AR)</f>
        <v>50006</v>
      </c>
      <c r="CA21" s="35">
        <f t="shared" si="37"/>
        <v>8429.184450061779</v>
      </c>
      <c r="CB21" s="35">
        <f>SUMIF('5 Year Supply Plan'!A:A,'JZ_BRAND SPLITS'!C21,'5 Year Supply Plan'!AS:AS)</f>
        <v>48390</v>
      </c>
      <c r="CC21" s="35">
        <f t="shared" si="38"/>
        <v>8156.7858964622146</v>
      </c>
      <c r="CD21" s="35">
        <f>SUMIF('5 Year Supply Plan'!A:A,'JZ_BRAND SPLITS'!C21,'5 Year Supply Plan'!AT:AT)</f>
        <v>53358</v>
      </c>
      <c r="CE21" s="35">
        <f t="shared" si="39"/>
        <v>8994.2091726272138</v>
      </c>
      <c r="CF21" s="35">
        <f>SUMIF('5 Year Supply Plan'!A:A,'JZ_BRAND SPLITS'!C21,'5 Year Supply Plan'!AU:AU)</f>
        <v>52005</v>
      </c>
      <c r="CG21" s="35">
        <f t="shared" si="40"/>
        <v>8766.1428093721315</v>
      </c>
      <c r="CH21" s="35">
        <f>SUMIF('5 Year Supply Plan'!A:A,'JZ_BRAND SPLITS'!C21,'5 Year Supply Plan'!AV:AV)</f>
        <v>58755</v>
      </c>
      <c r="CI21" s="35">
        <f t="shared" si="41"/>
        <v>9903.9461737267502</v>
      </c>
      <c r="CJ21" s="35">
        <f>SUMIF('5 Year Supply Plan'!A:A,'JZ_BRAND SPLITS'!C21,'5 Year Supply Plan'!AW:AW)</f>
        <v>57487</v>
      </c>
      <c r="CK21" s="35">
        <f t="shared" si="42"/>
        <v>9690.2077046894665</v>
      </c>
      <c r="CL21" s="35">
        <f>SUMIF('5 Year Supply Plan'!A:A,'JZ_BRAND SPLITS'!C21,'5 Year Supply Plan'!AX:AX)</f>
        <v>51092</v>
      </c>
      <c r="CM21" s="35">
        <f t="shared" si="43"/>
        <v>8612.2443691268327</v>
      </c>
      <c r="CN21" s="35">
        <f>SUMIF('5 Year Supply Plan'!A:A,'JZ_BRAND SPLITS'!C21,'5 Year Supply Plan'!AY:AY)</f>
        <v>52393</v>
      </c>
      <c r="CO21" s="35">
        <f t="shared" si="44"/>
        <v>8831.5454323898484</v>
      </c>
      <c r="CP21" s="35">
        <f>SUMIF('5 Year Supply Plan'!A:A,'JZ_BRAND SPLITS'!C21,'5 Year Supply Plan'!AZ:AZ)</f>
        <v>61694</v>
      </c>
      <c r="CQ21" s="35">
        <f t="shared" si="45"/>
        <v>10399.35418673982</v>
      </c>
      <c r="CR21" s="35">
        <f>SUMIF('5 Year Supply Plan'!A:A,'JZ_BRAND SPLITS'!C21,'5 Year Supply Plan'!BA:BA)</f>
        <v>52098</v>
      </c>
      <c r="CS21" s="35">
        <f t="shared" si="46"/>
        <v>8781.8192112810175</v>
      </c>
      <c r="CT21" s="35">
        <f>SUMIF('5 Year Supply Plan'!A:A,'JZ_BRAND SPLITS'!C21,'5 Year Supply Plan'!BB:BB)</f>
        <v>41059</v>
      </c>
      <c r="CU21" s="35">
        <f t="shared" si="47"/>
        <v>6921.0471610424065</v>
      </c>
      <c r="CV21" s="35">
        <f>SUMIF('5 Year Supply Plan'!A:A,'JZ_BRAND SPLITS'!C21,'5 Year Supply Plan'!BC:BC)</f>
        <v>55077</v>
      </c>
      <c r="CW21" s="35">
        <f t="shared" si="48"/>
        <v>9283.9697627495225</v>
      </c>
      <c r="CX21" s="35">
        <f>SUMIF('5 Year Supply Plan'!A:A,'JZ_BRAND SPLITS'!C21,'5 Year Supply Plan'!BD:BD)</f>
        <v>53243</v>
      </c>
      <c r="CY21" s="35">
        <f t="shared" si="49"/>
        <v>8974.8243745678374</v>
      </c>
      <c r="CZ21" s="35">
        <f>SUMIF('5 Year Supply Plan'!A:A,'JZ_BRAND SPLITS'!C21,'5 Year Supply Plan'!BE:BE)</f>
        <v>51565</v>
      </c>
      <c r="DA21" s="35">
        <f t="shared" si="50"/>
        <v>8691.9748863623499</v>
      </c>
      <c r="DB21" s="35">
        <f>SUMIF('5 Year Supply Plan'!A:A,'JZ_BRAND SPLITS'!C21,'5 Year Supply Plan'!BF:BF)</f>
        <v>56643</v>
      </c>
      <c r="DC21" s="35">
        <f t="shared" si="51"/>
        <v>9547.9401432797931</v>
      </c>
      <c r="DD21" s="35">
        <f>SUMIF('5 Year Supply Plan'!A:A,'JZ_BRAND SPLITS'!C21,'5 Year Supply Plan'!BG:BG)</f>
        <v>55261</v>
      </c>
      <c r="DE21" s="35">
        <f t="shared" si="52"/>
        <v>9314.9854396445226</v>
      </c>
      <c r="DF21" s="35">
        <f>SUMIF('5 Year Supply Plan'!A:A,'JZ_BRAND SPLITS'!C21,'5 Year Supply Plan'!BH:BH)</f>
        <v>62482</v>
      </c>
      <c r="DG21" s="35">
        <f t="shared" si="53"/>
        <v>10532.182194311885</v>
      </c>
      <c r="DH21" s="35">
        <f>SUMIF('5 Year Supply Plan'!A:A,'JZ_BRAND SPLITS'!C21,'5 Year Supply Plan'!BI:BI)</f>
        <v>61149</v>
      </c>
      <c r="DI21" s="35">
        <f t="shared" si="54"/>
        <v>10307.487100284521</v>
      </c>
      <c r="DJ21" s="35">
        <f>SUMIF('5 Year Supply Plan'!A:A,'JZ_BRAND SPLITS'!C21,'5 Year Supply Plan'!BJ:BJ)</f>
        <v>54221</v>
      </c>
      <c r="DK21" s="35">
        <f t="shared" si="55"/>
        <v>9139.679439803218</v>
      </c>
      <c r="DL21" s="35">
        <f>SUMIF('5 Year Supply Plan'!A:A,'JZ_BRAND SPLITS'!C21,'5 Year Supply Plan'!BK:BK)</f>
        <v>54952</v>
      </c>
      <c r="DM21" s="35">
        <f t="shared" si="56"/>
        <v>9262.8993300762886</v>
      </c>
      <c r="DN21" s="42">
        <f>SUMIF('5 Year Supply Plan'!A:A,'JZ_BRAND SPLITS'!C21,'5 Year Supply Plan'!BL:BL)</f>
        <v>62681</v>
      </c>
      <c r="DO21" s="35">
        <f t="shared" si="57"/>
        <v>10565.726323127672</v>
      </c>
      <c r="DP21" s="35">
        <f>SUMIF('5 Year Supply Plan'!A:A,'JZ_BRAND SPLITS'!C21,'5 Year Supply Plan'!BM:BM)</f>
        <v>56189.5</v>
      </c>
      <c r="DQ21" s="35">
        <f t="shared" si="58"/>
        <v>9471.4966135413015</v>
      </c>
      <c r="DR21" s="35">
        <f>SUMIF('5 Year Supply Plan'!A:A,'JZ_BRAND SPLITS'!C21,'5 Year Supply Plan'!BN:BN)</f>
        <v>56189.5</v>
      </c>
      <c r="DS21" s="35">
        <f t="shared" si="59"/>
        <v>9471.4966135413015</v>
      </c>
      <c r="DT21" s="39">
        <f t="shared" si="60"/>
        <v>492306.44548808772</v>
      </c>
      <c r="DU21" s="36">
        <f>SUMIF('5 Year Supply Plan'!A:A,'JZ_BRAND SPLITS'!C21,'5 Year Supply Plan'!BO:BO)</f>
        <v>2920600.000976</v>
      </c>
    </row>
    <row r="22" spans="1:125" x14ac:dyDescent="0.25">
      <c r="A22" s="40" t="s">
        <v>260</v>
      </c>
      <c r="B22" s="40" t="s">
        <v>257</v>
      </c>
      <c r="C22" s="40" t="s">
        <v>103</v>
      </c>
      <c r="D22" s="40" t="str">
        <f t="shared" si="0"/>
        <v>C03FTEMPO</v>
      </c>
      <c r="E22" s="41">
        <v>0.32759602358239148</v>
      </c>
      <c r="F22" s="35">
        <f>SUMIF('5 Year Supply Plan'!A:A,'JZ_BRAND SPLITS'!C22,'5 Year Supply Plan'!H:H)</f>
        <v>425250</v>
      </c>
      <c r="G22" s="35">
        <f t="shared" si="1"/>
        <v>139310.20902841198</v>
      </c>
      <c r="H22" s="35">
        <f>SUMIF('5 Year Supply Plan'!A:A,'JZ_BRAND SPLITS'!C22,'5 Year Supply Plan'!I:I)</f>
        <v>504000</v>
      </c>
      <c r="I22" s="35">
        <f t="shared" si="2"/>
        <v>165108.3958855253</v>
      </c>
      <c r="J22" s="35">
        <f>SUMIF('5 Year Supply Plan'!A:A,'JZ_BRAND SPLITS'!C22,'5 Year Supply Plan'!J:J)</f>
        <v>420000</v>
      </c>
      <c r="K22" s="35">
        <f t="shared" si="3"/>
        <v>137590.32990460441</v>
      </c>
      <c r="L22" s="35">
        <f>SUMIF('5 Year Supply Plan'!A:A,'JZ_BRAND SPLITS'!C22,'5 Year Supply Plan'!K:K)</f>
        <v>490443</v>
      </c>
      <c r="M22" s="35">
        <f t="shared" si="4"/>
        <v>160667.17659381882</v>
      </c>
      <c r="N22" s="35">
        <f>SUMIF('5 Year Supply Plan'!A:A,'JZ_BRAND SPLITS'!C22,'5 Year Supply Plan'!L:L)</f>
        <v>441110</v>
      </c>
      <c r="O22" s="35">
        <f t="shared" si="5"/>
        <v>144505.88196242871</v>
      </c>
      <c r="P22" s="35">
        <f>SUMIF('5 Year Supply Plan'!A:A,'JZ_BRAND SPLITS'!C22,'5 Year Supply Plan'!M:M)</f>
        <v>434547</v>
      </c>
      <c r="Q22" s="35">
        <f t="shared" si="6"/>
        <v>142355.86925965748</v>
      </c>
      <c r="R22" s="35">
        <f>SUMIF('5 Year Supply Plan'!A:A,'JZ_BRAND SPLITS'!C22,'5 Year Supply Plan'!N:N)</f>
        <v>414129</v>
      </c>
      <c r="S22" s="35">
        <f t="shared" si="7"/>
        <v>135667.01365015219</v>
      </c>
      <c r="T22" s="35">
        <f>SUMIF('5 Year Supply Plan'!A:A,'JZ_BRAND SPLITS'!C22,'5 Year Supply Plan'!O:O)</f>
        <v>410388</v>
      </c>
      <c r="U22" s="35">
        <f t="shared" si="8"/>
        <v>134441.47692593047</v>
      </c>
      <c r="V22" s="35">
        <f>SUMIF('5 Year Supply Plan'!A:A,'JZ_BRAND SPLITS'!C22,'5 Year Supply Plan'!P:P)</f>
        <v>391390</v>
      </c>
      <c r="W22" s="35">
        <f t="shared" si="9"/>
        <v>128217.8076699122</v>
      </c>
      <c r="X22" s="35">
        <f>SUMIF('5 Year Supply Plan'!A:A,'JZ_BRAND SPLITS'!C22,'5 Year Supply Plan'!Q:Q)</f>
        <v>395135</v>
      </c>
      <c r="Y22" s="35">
        <f t="shared" si="10"/>
        <v>129444.65477822826</v>
      </c>
      <c r="Z22" s="35">
        <f>SUMIF('5 Year Supply Plan'!A:A,'JZ_BRAND SPLITS'!C22,'5 Year Supply Plan'!R:R)</f>
        <v>365865</v>
      </c>
      <c r="AA22" s="35">
        <f t="shared" si="11"/>
        <v>119855.91916797166</v>
      </c>
      <c r="AB22" s="35">
        <f>SUMIF('5 Year Supply Plan'!A:A,'JZ_BRAND SPLITS'!C22,'5 Year Supply Plan'!S:S)</f>
        <v>434544</v>
      </c>
      <c r="AC22" s="35">
        <f t="shared" si="12"/>
        <v>142354.88647158674</v>
      </c>
      <c r="AD22" s="35">
        <f>SUMIF('5 Year Supply Plan'!A:A,'JZ_BRAND SPLITS'!C22,'5 Year Supply Plan'!T:T)</f>
        <v>499809</v>
      </c>
      <c r="AE22" s="35">
        <f t="shared" si="13"/>
        <v>163735.4409506915</v>
      </c>
      <c r="AF22" s="35">
        <f>SUMIF('5 Year Supply Plan'!A:A,'JZ_BRAND SPLITS'!C22,'5 Year Supply Plan'!U:U)</f>
        <v>466382</v>
      </c>
      <c r="AG22" s="35">
        <f t="shared" si="14"/>
        <v>152784.8886704029</v>
      </c>
      <c r="AH22" s="35">
        <f>SUMIF('5 Year Supply Plan'!A:A,'JZ_BRAND SPLITS'!C22,'5 Year Supply Plan'!V:V)</f>
        <v>447917</v>
      </c>
      <c r="AI22" s="35">
        <f t="shared" si="15"/>
        <v>146735.82809495405</v>
      </c>
      <c r="AJ22" s="35">
        <f>SUMIF('5 Year Supply Plan'!A:A,'JZ_BRAND SPLITS'!C22,'5 Year Supply Plan'!W:W)</f>
        <v>435548</v>
      </c>
      <c r="AK22" s="35">
        <f t="shared" si="16"/>
        <v>142683.79287926343</v>
      </c>
      <c r="AL22" s="35">
        <f>SUMIF('5 Year Supply Plan'!A:A,'JZ_BRAND SPLITS'!C22,'5 Year Supply Plan'!X:X)</f>
        <v>476535</v>
      </c>
      <c r="AM22" s="35">
        <f t="shared" si="17"/>
        <v>156110.97109783493</v>
      </c>
      <c r="AN22" s="35">
        <f>SUMIF('5 Year Supply Plan'!A:A,'JZ_BRAND SPLITS'!C22,'5 Year Supply Plan'!Y:Y)</f>
        <v>472977</v>
      </c>
      <c r="AO22" s="35">
        <f t="shared" si="18"/>
        <v>154945.38444592876</v>
      </c>
      <c r="AP22" s="35">
        <f>SUMIF('5 Year Supply Plan'!A:A,'JZ_BRAND SPLITS'!C22,'5 Year Supply Plan'!Z:Z)</f>
        <v>447950</v>
      </c>
      <c r="AQ22" s="35">
        <f t="shared" si="19"/>
        <v>146746.63876373228</v>
      </c>
      <c r="AR22" s="35">
        <f>SUMIF('5 Year Supply Plan'!A:A,'JZ_BRAND SPLITS'!C22,'5 Year Supply Plan'!AA:AA)</f>
        <v>455025</v>
      </c>
      <c r="AS22" s="35">
        <f t="shared" si="20"/>
        <v>149064.38063057768</v>
      </c>
      <c r="AT22" s="35">
        <f>SUMIF('5 Year Supply Plan'!A:A,'JZ_BRAND SPLITS'!C22,'5 Year Supply Plan'!AB:AB)</f>
        <v>438996</v>
      </c>
      <c r="AU22" s="35">
        <f t="shared" si="21"/>
        <v>143813.34396857553</v>
      </c>
      <c r="AV22" s="35">
        <f>SUMIF('5 Year Supply Plan'!A:A,'JZ_BRAND SPLITS'!C22,'5 Year Supply Plan'!AC:AC)</f>
        <v>445982</v>
      </c>
      <c r="AW22" s="35">
        <f t="shared" si="22"/>
        <v>146101.92978932211</v>
      </c>
      <c r="AX22" s="35">
        <f>SUMIF('5 Year Supply Plan'!A:A,'JZ_BRAND SPLITS'!C22,'5 Year Supply Plan'!AD:AD)</f>
        <v>412897</v>
      </c>
      <c r="AY22" s="35">
        <f t="shared" si="23"/>
        <v>135263.41534909871</v>
      </c>
      <c r="AZ22" s="35">
        <f>SUMIF('5 Year Supply Plan'!A:A,'JZ_BRAND SPLITS'!C22,'5 Year Supply Plan'!AE:AE)</f>
        <v>490876</v>
      </c>
      <c r="BA22" s="35">
        <f t="shared" si="24"/>
        <v>160809.02567202999</v>
      </c>
      <c r="BB22" s="35">
        <f>SUMIF('5 Year Supply Plan'!A:A,'JZ_BRAND SPLITS'!C22,'5 Year Supply Plan'!AF:AF)</f>
        <v>564433</v>
      </c>
      <c r="BC22" s="35">
        <f t="shared" si="25"/>
        <v>184906.00637867997</v>
      </c>
      <c r="BD22" s="35">
        <f>SUMIF('5 Year Supply Plan'!A:A,'JZ_BRAND SPLITS'!C22,'5 Year Supply Plan'!AG:AG)</f>
        <v>521847</v>
      </c>
      <c r="BE22" s="35">
        <f t="shared" si="26"/>
        <v>170955.00211840024</v>
      </c>
      <c r="BF22" s="35">
        <f>SUMIF('5 Year Supply Plan'!A:A,'JZ_BRAND SPLITS'!C22,'5 Year Supply Plan'!AH:AH)</f>
        <v>497228</v>
      </c>
      <c r="BG22" s="35">
        <f t="shared" si="27"/>
        <v>162889.91561382535</v>
      </c>
      <c r="BH22" s="35">
        <f>SUMIF('5 Year Supply Plan'!A:A,'JZ_BRAND SPLITS'!C22,'5 Year Supply Plan'!AI:AI)</f>
        <v>484082</v>
      </c>
      <c r="BI22" s="35">
        <f t="shared" si="28"/>
        <v>158583.33828781123</v>
      </c>
      <c r="BJ22" s="35">
        <f>SUMIF('5 Year Supply Plan'!A:A,'JZ_BRAND SPLITS'!C22,'5 Year Supply Plan'!AJ:AJ)</f>
        <v>530482</v>
      </c>
      <c r="BK22" s="35">
        <f t="shared" si="29"/>
        <v>173783.79378203419</v>
      </c>
      <c r="BL22" s="35">
        <f>SUMIF('5 Year Supply Plan'!A:A,'JZ_BRAND SPLITS'!C22,'5 Year Supply Plan'!AK:AK)</f>
        <v>527062</v>
      </c>
      <c r="BM22" s="35">
        <f t="shared" si="30"/>
        <v>172663.41538138242</v>
      </c>
      <c r="BN22" s="35">
        <f>SUMIF('5 Year Supply Plan'!A:A,'JZ_BRAND SPLITS'!C22,'5 Year Supply Plan'!AL:AL)</f>
        <v>499446</v>
      </c>
      <c r="BO22" s="35">
        <f t="shared" si="31"/>
        <v>163616.52359413108</v>
      </c>
      <c r="BP22" s="35">
        <f>SUMIF('5 Year Supply Plan'!A:A,'JZ_BRAND SPLITS'!C22,'5 Year Supply Plan'!AM:AM)</f>
        <v>510308</v>
      </c>
      <c r="BQ22" s="35">
        <f t="shared" si="32"/>
        <v>167174.87160228303</v>
      </c>
      <c r="BR22" s="35">
        <f>SUMIF('5 Year Supply Plan'!A:A,'JZ_BRAND SPLITS'!C22,'5 Year Supply Plan'!AN:AN)</f>
        <v>496225</v>
      </c>
      <c r="BS22" s="35">
        <f t="shared" si="33"/>
        <v>162561.33680217221</v>
      </c>
      <c r="BT22" s="35">
        <f>SUMIF('5 Year Supply Plan'!A:A,'JZ_BRAND SPLITS'!C22,'5 Year Supply Plan'!AO:AO)</f>
        <v>506261</v>
      </c>
      <c r="BU22" s="35">
        <f t="shared" si="34"/>
        <v>165849.09049484509</v>
      </c>
      <c r="BV22" s="35">
        <f>SUMIF('5 Year Supply Plan'!A:A,'JZ_BRAND SPLITS'!C22,'5 Year Supply Plan'!AP:AP)</f>
        <v>468712</v>
      </c>
      <c r="BW22" s="35">
        <f t="shared" si="35"/>
        <v>153548.18740534989</v>
      </c>
      <c r="BX22" s="35">
        <f>SUMIF('5 Year Supply Plan'!A:A,'JZ_BRAND SPLITS'!C22,'5 Year Supply Plan'!AQ:AQ)</f>
        <v>557595</v>
      </c>
      <c r="BY22" s="35">
        <f t="shared" si="36"/>
        <v>182665.90476942359</v>
      </c>
      <c r="BZ22" s="35">
        <f>SUMIF('5 Year Supply Plan'!A:A,'JZ_BRAND SPLITS'!C22,'5 Year Supply Plan'!AR:AR)</f>
        <v>641149</v>
      </c>
      <c r="CA22" s="35">
        <f t="shared" si="37"/>
        <v>210037.8629238267</v>
      </c>
      <c r="CB22" s="35">
        <f>SUMIF('5 Year Supply Plan'!A:A,'JZ_BRAND SPLITS'!C22,'5 Year Supply Plan'!AS:AS)</f>
        <v>588142</v>
      </c>
      <c r="CC22" s="35">
        <f t="shared" si="38"/>
        <v>192672.9805017949</v>
      </c>
      <c r="CD22" s="35">
        <f>SUMIF('5 Year Supply Plan'!A:A,'JZ_BRAND SPLITS'!C22,'5 Year Supply Plan'!AT:AT)</f>
        <v>556544</v>
      </c>
      <c r="CE22" s="35">
        <f t="shared" si="39"/>
        <v>182321.60134863848</v>
      </c>
      <c r="CF22" s="35">
        <f>SUMIF('5 Year Supply Plan'!A:A,'JZ_BRAND SPLITS'!C22,'5 Year Supply Plan'!AU:AU)</f>
        <v>542347</v>
      </c>
      <c r="CG22" s="35">
        <f t="shared" si="40"/>
        <v>177670.72060183928</v>
      </c>
      <c r="CH22" s="35">
        <f>SUMIF('5 Year Supply Plan'!A:A,'JZ_BRAND SPLITS'!C22,'5 Year Supply Plan'!AV:AV)</f>
        <v>595164</v>
      </c>
      <c r="CI22" s="35">
        <f t="shared" si="41"/>
        <v>194973.35977939045</v>
      </c>
      <c r="CJ22" s="35">
        <f>SUMIF('5 Year Supply Plan'!A:A,'JZ_BRAND SPLITS'!C22,'5 Year Supply Plan'!AW:AW)</f>
        <v>592224</v>
      </c>
      <c r="CK22" s="35">
        <f t="shared" si="42"/>
        <v>194010.22747005822</v>
      </c>
      <c r="CL22" s="35">
        <f>SUMIF('5 Year Supply Plan'!A:A,'JZ_BRAND SPLITS'!C22,'5 Year Supply Plan'!AX:AX)</f>
        <v>565427</v>
      </c>
      <c r="CM22" s="35">
        <f t="shared" si="43"/>
        <v>185231.63682612087</v>
      </c>
      <c r="CN22" s="35">
        <f>SUMIF('5 Year Supply Plan'!A:A,'JZ_BRAND SPLITS'!C22,'5 Year Supply Plan'!AY:AY)</f>
        <v>567356</v>
      </c>
      <c r="CO22" s="35">
        <f t="shared" si="44"/>
        <v>185863.56955561129</v>
      </c>
      <c r="CP22" s="35">
        <f>SUMIF('5 Year Supply Plan'!A:A,'JZ_BRAND SPLITS'!C22,'5 Year Supply Plan'!AZ:AZ)</f>
        <v>551251</v>
      </c>
      <c r="CQ22" s="35">
        <f t="shared" si="45"/>
        <v>180587.63559581689</v>
      </c>
      <c r="CR22" s="35">
        <f>SUMIF('5 Year Supply Plan'!A:A,'JZ_BRAND SPLITS'!C22,'5 Year Supply Plan'!BA:BA)</f>
        <v>562498</v>
      </c>
      <c r="CS22" s="35">
        <f t="shared" si="46"/>
        <v>184272.10807304803</v>
      </c>
      <c r="CT22" s="35">
        <f>SUMIF('5 Year Supply Plan'!A:A,'JZ_BRAND SPLITS'!C22,'5 Year Supply Plan'!BB:BB)</f>
        <v>521155</v>
      </c>
      <c r="CU22" s="35">
        <f t="shared" si="47"/>
        <v>170728.30567008123</v>
      </c>
      <c r="CV22" s="35">
        <f>SUMIF('5 Year Supply Plan'!A:A,'JZ_BRAND SPLITS'!C22,'5 Year Supply Plan'!BC:BC)</f>
        <v>619412</v>
      </c>
      <c r="CW22" s="35">
        <f t="shared" si="48"/>
        <v>202916.90815921628</v>
      </c>
      <c r="CX22" s="35">
        <f>SUMIF('5 Year Supply Plan'!A:A,'JZ_BRAND SPLITS'!C22,'5 Year Supply Plan'!BD:BD)</f>
        <v>713133</v>
      </c>
      <c r="CY22" s="35">
        <f t="shared" si="49"/>
        <v>233619.53508538159</v>
      </c>
      <c r="CZ22" s="35">
        <f>SUMIF('5 Year Supply Plan'!A:A,'JZ_BRAND SPLITS'!C22,'5 Year Supply Plan'!BE:BE)</f>
        <v>655035</v>
      </c>
      <c r="DA22" s="35">
        <f t="shared" si="50"/>
        <v>214586.86130729181</v>
      </c>
      <c r="DB22" s="35">
        <f>SUMIF('5 Year Supply Plan'!A:A,'JZ_BRAND SPLITS'!C22,'5 Year Supply Plan'!BF:BF)</f>
        <v>620422</v>
      </c>
      <c r="DC22" s="35">
        <f t="shared" si="51"/>
        <v>203247.7801430345</v>
      </c>
      <c r="DD22" s="35">
        <f>SUMIF('5 Year Supply Plan'!A:A,'JZ_BRAND SPLITS'!C22,'5 Year Supply Plan'!BG:BG)</f>
        <v>604259</v>
      </c>
      <c r="DE22" s="35">
        <f t="shared" si="52"/>
        <v>197952.84561387228</v>
      </c>
      <c r="DF22" s="35">
        <f>SUMIF('5 Year Supply Plan'!A:A,'JZ_BRAND SPLITS'!C22,'5 Year Supply Plan'!BH:BH)</f>
        <v>662615</v>
      </c>
      <c r="DG22" s="35">
        <f t="shared" si="53"/>
        <v>217070.03916604634</v>
      </c>
      <c r="DH22" s="35">
        <f>SUMIF('5 Year Supply Plan'!A:A,'JZ_BRAND SPLITS'!C22,'5 Year Supply Plan'!BI:BI)</f>
        <v>644924</v>
      </c>
      <c r="DI22" s="35">
        <f t="shared" si="54"/>
        <v>211274.53791285024</v>
      </c>
      <c r="DJ22" s="35">
        <f>SUMIF('5 Year Supply Plan'!A:A,'JZ_BRAND SPLITS'!C22,'5 Year Supply Plan'!BJ:BJ)</f>
        <v>627794</v>
      </c>
      <c r="DK22" s="35">
        <f t="shared" si="55"/>
        <v>205662.81802888389</v>
      </c>
      <c r="DL22" s="35">
        <f>SUMIF('5 Year Supply Plan'!A:A,'JZ_BRAND SPLITS'!C22,'5 Year Supply Plan'!BK:BK)</f>
        <v>572476</v>
      </c>
      <c r="DM22" s="35">
        <f t="shared" si="56"/>
        <v>187540.86119635316</v>
      </c>
      <c r="DN22" s="42">
        <f>SUMIF('5 Year Supply Plan'!A:A,'JZ_BRAND SPLITS'!C22,'5 Year Supply Plan'!BL:BL)</f>
        <v>549671</v>
      </c>
      <c r="DO22" s="35">
        <f t="shared" si="57"/>
        <v>180070.03387855671</v>
      </c>
      <c r="DP22" s="35">
        <f>SUMIF('5 Year Supply Plan'!A:A,'JZ_BRAND SPLITS'!C22,'5 Year Supply Plan'!BM:BM)</f>
        <v>637582.25</v>
      </c>
      <c r="DQ22" s="35">
        <f t="shared" si="58"/>
        <v>208869.40980671422</v>
      </c>
      <c r="DR22" s="35">
        <f>SUMIF('5 Year Supply Plan'!A:A,'JZ_BRAND SPLITS'!C22,'5 Year Supply Plan'!BN:BN)</f>
        <v>637582.25</v>
      </c>
      <c r="DS22" s="35">
        <f t="shared" si="59"/>
        <v>208869.40980671422</v>
      </c>
      <c r="DT22" s="39">
        <f t="shared" si="60"/>
        <v>10027563.096292119</v>
      </c>
      <c r="DU22" s="36">
        <f>SUMIF('5 Year Supply Plan'!A:A,'JZ_BRAND SPLITS'!C22,'5 Year Supply Plan'!BO:BO)</f>
        <v>30609538.5</v>
      </c>
    </row>
    <row r="23" spans="1:125" x14ac:dyDescent="0.25">
      <c r="A23" s="40" t="s">
        <v>261</v>
      </c>
      <c r="B23" s="40" t="s">
        <v>257</v>
      </c>
      <c r="C23" s="40" t="s">
        <v>103</v>
      </c>
      <c r="D23" s="40" t="str">
        <f t="shared" si="0"/>
        <v>C03GTEMPO</v>
      </c>
      <c r="E23" s="41">
        <v>0.6724039764176083</v>
      </c>
      <c r="F23" s="35">
        <f>SUMIF('5 Year Supply Plan'!A:A,'JZ_BRAND SPLITS'!C23,'5 Year Supply Plan'!H:H)</f>
        <v>425250</v>
      </c>
      <c r="G23" s="35">
        <f t="shared" si="1"/>
        <v>285939.79097158794</v>
      </c>
      <c r="H23" s="35">
        <f>SUMIF('5 Year Supply Plan'!A:A,'JZ_BRAND SPLITS'!C23,'5 Year Supply Plan'!I:I)</f>
        <v>504000</v>
      </c>
      <c r="I23" s="35">
        <f t="shared" si="2"/>
        <v>338891.60411447455</v>
      </c>
      <c r="J23" s="35">
        <f>SUMIF('5 Year Supply Plan'!A:A,'JZ_BRAND SPLITS'!C23,'5 Year Supply Plan'!J:J)</f>
        <v>420000</v>
      </c>
      <c r="K23" s="35">
        <f t="shared" si="3"/>
        <v>282409.67009539547</v>
      </c>
      <c r="L23" s="35">
        <f>SUMIF('5 Year Supply Plan'!A:A,'JZ_BRAND SPLITS'!C23,'5 Year Supply Plan'!K:K)</f>
        <v>490443</v>
      </c>
      <c r="M23" s="35">
        <f t="shared" si="4"/>
        <v>329775.82340618107</v>
      </c>
      <c r="N23" s="35">
        <f>SUMIF('5 Year Supply Plan'!A:A,'JZ_BRAND SPLITS'!C23,'5 Year Supply Plan'!L:L)</f>
        <v>441110</v>
      </c>
      <c r="O23" s="35">
        <f t="shared" si="5"/>
        <v>296604.1180375712</v>
      </c>
      <c r="P23" s="35">
        <f>SUMIF('5 Year Supply Plan'!A:A,'JZ_BRAND SPLITS'!C23,'5 Year Supply Plan'!M:M)</f>
        <v>434547</v>
      </c>
      <c r="Q23" s="35">
        <f t="shared" si="6"/>
        <v>292191.13074034243</v>
      </c>
      <c r="R23" s="35">
        <f>SUMIF('5 Year Supply Plan'!A:A,'JZ_BRAND SPLITS'!C23,'5 Year Supply Plan'!N:N)</f>
        <v>414129</v>
      </c>
      <c r="S23" s="35">
        <f t="shared" si="7"/>
        <v>278461.98634984769</v>
      </c>
      <c r="T23" s="35">
        <f>SUMIF('5 Year Supply Plan'!A:A,'JZ_BRAND SPLITS'!C23,'5 Year Supply Plan'!O:O)</f>
        <v>410388</v>
      </c>
      <c r="U23" s="35">
        <f t="shared" si="8"/>
        <v>275946.52307406941</v>
      </c>
      <c r="V23" s="35">
        <f>SUMIF('5 Year Supply Plan'!A:A,'JZ_BRAND SPLITS'!C23,'5 Year Supply Plan'!P:P)</f>
        <v>391390</v>
      </c>
      <c r="W23" s="35">
        <f t="shared" si="9"/>
        <v>263172.19233008771</v>
      </c>
      <c r="X23" s="35">
        <f>SUMIF('5 Year Supply Plan'!A:A,'JZ_BRAND SPLITS'!C23,'5 Year Supply Plan'!Q:Q)</f>
        <v>395135</v>
      </c>
      <c r="Y23" s="35">
        <f t="shared" si="10"/>
        <v>265690.34522177163</v>
      </c>
      <c r="Z23" s="35">
        <f>SUMIF('5 Year Supply Plan'!A:A,'JZ_BRAND SPLITS'!C23,'5 Year Supply Plan'!R:R)</f>
        <v>365865</v>
      </c>
      <c r="AA23" s="35">
        <f t="shared" si="11"/>
        <v>246009.08083202827</v>
      </c>
      <c r="AB23" s="35">
        <f>SUMIF('5 Year Supply Plan'!A:A,'JZ_BRAND SPLITS'!C23,'5 Year Supply Plan'!S:S)</f>
        <v>434544</v>
      </c>
      <c r="AC23" s="35">
        <f t="shared" si="12"/>
        <v>292189.11352841317</v>
      </c>
      <c r="AD23" s="35">
        <f>SUMIF('5 Year Supply Plan'!A:A,'JZ_BRAND SPLITS'!C23,'5 Year Supply Plan'!T:T)</f>
        <v>499809</v>
      </c>
      <c r="AE23" s="35">
        <f t="shared" si="13"/>
        <v>336073.55904930836</v>
      </c>
      <c r="AF23" s="35">
        <f>SUMIF('5 Year Supply Plan'!A:A,'JZ_BRAND SPLITS'!C23,'5 Year Supply Plan'!U:U)</f>
        <v>466382</v>
      </c>
      <c r="AG23" s="35">
        <f t="shared" si="14"/>
        <v>313597.11132959701</v>
      </c>
      <c r="AH23" s="35">
        <f>SUMIF('5 Year Supply Plan'!A:A,'JZ_BRAND SPLITS'!C23,'5 Year Supply Plan'!V:V)</f>
        <v>447917</v>
      </c>
      <c r="AI23" s="35">
        <f t="shared" si="15"/>
        <v>301181.17190504586</v>
      </c>
      <c r="AJ23" s="35">
        <f>SUMIF('5 Year Supply Plan'!A:A,'JZ_BRAND SPLITS'!C23,'5 Year Supply Plan'!W:W)</f>
        <v>435548</v>
      </c>
      <c r="AK23" s="35">
        <f t="shared" si="16"/>
        <v>292864.20712073648</v>
      </c>
      <c r="AL23" s="35">
        <f>SUMIF('5 Year Supply Plan'!A:A,'JZ_BRAND SPLITS'!C23,'5 Year Supply Plan'!X:X)</f>
        <v>476535</v>
      </c>
      <c r="AM23" s="35">
        <f t="shared" si="17"/>
        <v>320424.02890216495</v>
      </c>
      <c r="AN23" s="35">
        <f>SUMIF('5 Year Supply Plan'!A:A,'JZ_BRAND SPLITS'!C23,'5 Year Supply Plan'!Y:Y)</f>
        <v>472977</v>
      </c>
      <c r="AO23" s="35">
        <f t="shared" si="18"/>
        <v>318031.61555407115</v>
      </c>
      <c r="AP23" s="35">
        <f>SUMIF('5 Year Supply Plan'!A:A,'JZ_BRAND SPLITS'!C23,'5 Year Supply Plan'!Z:Z)</f>
        <v>447950</v>
      </c>
      <c r="AQ23" s="35">
        <f t="shared" si="19"/>
        <v>301203.36123626766</v>
      </c>
      <c r="AR23" s="35">
        <f>SUMIF('5 Year Supply Plan'!A:A,'JZ_BRAND SPLITS'!C23,'5 Year Supply Plan'!AA:AA)</f>
        <v>455025</v>
      </c>
      <c r="AS23" s="35">
        <f t="shared" si="20"/>
        <v>305960.6193694222</v>
      </c>
      <c r="AT23" s="35">
        <f>SUMIF('5 Year Supply Plan'!A:A,'JZ_BRAND SPLITS'!C23,'5 Year Supply Plan'!AB:AB)</f>
        <v>438996</v>
      </c>
      <c r="AU23" s="35">
        <f t="shared" si="21"/>
        <v>295182.65603142435</v>
      </c>
      <c r="AV23" s="35">
        <f>SUMIF('5 Year Supply Plan'!A:A,'JZ_BRAND SPLITS'!C23,'5 Year Supply Plan'!AC:AC)</f>
        <v>445982</v>
      </c>
      <c r="AW23" s="35">
        <f t="shared" si="22"/>
        <v>299880.0702106778</v>
      </c>
      <c r="AX23" s="35">
        <f>SUMIF('5 Year Supply Plan'!A:A,'JZ_BRAND SPLITS'!C23,'5 Year Supply Plan'!AD:AD)</f>
        <v>412897</v>
      </c>
      <c r="AY23" s="35">
        <f t="shared" si="23"/>
        <v>277633.5846509012</v>
      </c>
      <c r="AZ23" s="35">
        <f>SUMIF('5 Year Supply Plan'!A:A,'JZ_BRAND SPLITS'!C23,'5 Year Supply Plan'!AE:AE)</f>
        <v>490876</v>
      </c>
      <c r="BA23" s="35">
        <f t="shared" si="24"/>
        <v>330066.97432796989</v>
      </c>
      <c r="BB23" s="35">
        <f>SUMIF('5 Year Supply Plan'!A:A,'JZ_BRAND SPLITS'!C23,'5 Year Supply Plan'!AF:AF)</f>
        <v>564433</v>
      </c>
      <c r="BC23" s="35">
        <f t="shared" si="25"/>
        <v>379526.99362131988</v>
      </c>
      <c r="BD23" s="35">
        <f>SUMIF('5 Year Supply Plan'!A:A,'JZ_BRAND SPLITS'!C23,'5 Year Supply Plan'!AG:AG)</f>
        <v>521847</v>
      </c>
      <c r="BE23" s="35">
        <f t="shared" si="26"/>
        <v>350891.99788159964</v>
      </c>
      <c r="BF23" s="35">
        <f>SUMIF('5 Year Supply Plan'!A:A,'JZ_BRAND SPLITS'!C23,'5 Year Supply Plan'!AH:AH)</f>
        <v>497228</v>
      </c>
      <c r="BG23" s="35">
        <f t="shared" si="27"/>
        <v>334338.08438617451</v>
      </c>
      <c r="BH23" s="35">
        <f>SUMIF('5 Year Supply Plan'!A:A,'JZ_BRAND SPLITS'!C23,'5 Year Supply Plan'!AI:AI)</f>
        <v>484082</v>
      </c>
      <c r="BI23" s="35">
        <f t="shared" si="28"/>
        <v>325498.66171218868</v>
      </c>
      <c r="BJ23" s="35">
        <f>SUMIF('5 Year Supply Plan'!A:A,'JZ_BRAND SPLITS'!C23,'5 Year Supply Plan'!AJ:AJ)</f>
        <v>530482</v>
      </c>
      <c r="BK23" s="35">
        <f t="shared" si="29"/>
        <v>356698.20621796569</v>
      </c>
      <c r="BL23" s="35">
        <f>SUMIF('5 Year Supply Plan'!A:A,'JZ_BRAND SPLITS'!C23,'5 Year Supply Plan'!AK:AK)</f>
        <v>527062</v>
      </c>
      <c r="BM23" s="35">
        <f t="shared" si="30"/>
        <v>354398.58461861749</v>
      </c>
      <c r="BN23" s="35">
        <f>SUMIF('5 Year Supply Plan'!A:A,'JZ_BRAND SPLITS'!C23,'5 Year Supply Plan'!AL:AL)</f>
        <v>499446</v>
      </c>
      <c r="BO23" s="35">
        <f t="shared" si="31"/>
        <v>335829.47640586877</v>
      </c>
      <c r="BP23" s="35">
        <f>SUMIF('5 Year Supply Plan'!A:A,'JZ_BRAND SPLITS'!C23,'5 Year Supply Plan'!AM:AM)</f>
        <v>510308</v>
      </c>
      <c r="BQ23" s="35">
        <f t="shared" si="32"/>
        <v>343133.12839771685</v>
      </c>
      <c r="BR23" s="35">
        <f>SUMIF('5 Year Supply Plan'!A:A,'JZ_BRAND SPLITS'!C23,'5 Year Supply Plan'!AN:AN)</f>
        <v>496225</v>
      </c>
      <c r="BS23" s="35">
        <f t="shared" si="33"/>
        <v>333663.6631978277</v>
      </c>
      <c r="BT23" s="35">
        <f>SUMIF('5 Year Supply Plan'!A:A,'JZ_BRAND SPLITS'!C23,'5 Year Supply Plan'!AO:AO)</f>
        <v>506261</v>
      </c>
      <c r="BU23" s="35">
        <f t="shared" si="34"/>
        <v>340411.90950515482</v>
      </c>
      <c r="BV23" s="35">
        <f>SUMIF('5 Year Supply Plan'!A:A,'JZ_BRAND SPLITS'!C23,'5 Year Supply Plan'!AP:AP)</f>
        <v>468712</v>
      </c>
      <c r="BW23" s="35">
        <f t="shared" si="35"/>
        <v>315163.81259465002</v>
      </c>
      <c r="BX23" s="35">
        <f>SUMIF('5 Year Supply Plan'!A:A,'JZ_BRAND SPLITS'!C23,'5 Year Supply Plan'!AQ:AQ)</f>
        <v>557595</v>
      </c>
      <c r="BY23" s="35">
        <f t="shared" si="36"/>
        <v>374929.09523057629</v>
      </c>
      <c r="BZ23" s="35">
        <f>SUMIF('5 Year Supply Plan'!A:A,'JZ_BRAND SPLITS'!C23,'5 Year Supply Plan'!AR:AR)</f>
        <v>641149</v>
      </c>
      <c r="CA23" s="35">
        <f t="shared" si="37"/>
        <v>431111.13707617315</v>
      </c>
      <c r="CB23" s="35">
        <f>SUMIF('5 Year Supply Plan'!A:A,'JZ_BRAND SPLITS'!C23,'5 Year Supply Plan'!AS:AS)</f>
        <v>588142</v>
      </c>
      <c r="CC23" s="35">
        <f t="shared" si="38"/>
        <v>395469.01949820499</v>
      </c>
      <c r="CD23" s="35">
        <f>SUMIF('5 Year Supply Plan'!A:A,'JZ_BRAND SPLITS'!C23,'5 Year Supply Plan'!AT:AT)</f>
        <v>556544</v>
      </c>
      <c r="CE23" s="35">
        <f t="shared" si="39"/>
        <v>374222.39865136141</v>
      </c>
      <c r="CF23" s="35">
        <f>SUMIF('5 Year Supply Plan'!A:A,'JZ_BRAND SPLITS'!C23,'5 Year Supply Plan'!AU:AU)</f>
        <v>542347</v>
      </c>
      <c r="CG23" s="35">
        <f t="shared" si="40"/>
        <v>364676.27939816058</v>
      </c>
      <c r="CH23" s="35">
        <f>SUMIF('5 Year Supply Plan'!A:A,'JZ_BRAND SPLITS'!C23,'5 Year Supply Plan'!AV:AV)</f>
        <v>595164</v>
      </c>
      <c r="CI23" s="35">
        <f t="shared" si="41"/>
        <v>400190.64022060944</v>
      </c>
      <c r="CJ23" s="35">
        <f>SUMIF('5 Year Supply Plan'!A:A,'JZ_BRAND SPLITS'!C23,'5 Year Supply Plan'!AW:AW)</f>
        <v>592224</v>
      </c>
      <c r="CK23" s="35">
        <f t="shared" si="42"/>
        <v>398213.77252994163</v>
      </c>
      <c r="CL23" s="35">
        <f>SUMIF('5 Year Supply Plan'!A:A,'JZ_BRAND SPLITS'!C23,'5 Year Supply Plan'!AX:AX)</f>
        <v>565427</v>
      </c>
      <c r="CM23" s="35">
        <f t="shared" si="43"/>
        <v>380195.36317387898</v>
      </c>
      <c r="CN23" s="35">
        <f>SUMIF('5 Year Supply Plan'!A:A,'JZ_BRAND SPLITS'!C23,'5 Year Supply Plan'!AY:AY)</f>
        <v>567356</v>
      </c>
      <c r="CO23" s="35">
        <f t="shared" si="44"/>
        <v>381492.43044438859</v>
      </c>
      <c r="CP23" s="35">
        <f>SUMIF('5 Year Supply Plan'!A:A,'JZ_BRAND SPLITS'!C23,'5 Year Supply Plan'!AZ:AZ)</f>
        <v>551251</v>
      </c>
      <c r="CQ23" s="35">
        <f t="shared" si="45"/>
        <v>370663.364404183</v>
      </c>
      <c r="CR23" s="35">
        <f>SUMIF('5 Year Supply Plan'!A:A,'JZ_BRAND SPLITS'!C23,'5 Year Supply Plan'!BA:BA)</f>
        <v>562498</v>
      </c>
      <c r="CS23" s="35">
        <f t="shared" si="46"/>
        <v>378225.89192695182</v>
      </c>
      <c r="CT23" s="35">
        <f>SUMIF('5 Year Supply Plan'!A:A,'JZ_BRAND SPLITS'!C23,'5 Year Supply Plan'!BB:BB)</f>
        <v>521155</v>
      </c>
      <c r="CU23" s="35">
        <f t="shared" si="47"/>
        <v>350426.69432991865</v>
      </c>
      <c r="CV23" s="35">
        <f>SUMIF('5 Year Supply Plan'!A:A,'JZ_BRAND SPLITS'!C23,'5 Year Supply Plan'!BC:BC)</f>
        <v>619412</v>
      </c>
      <c r="CW23" s="35">
        <f t="shared" si="48"/>
        <v>416495.0918407836</v>
      </c>
      <c r="CX23" s="35">
        <f>SUMIF('5 Year Supply Plan'!A:A,'JZ_BRAND SPLITS'!C23,'5 Year Supply Plan'!BD:BD)</f>
        <v>713133</v>
      </c>
      <c r="CY23" s="35">
        <f t="shared" si="49"/>
        <v>479513.46491461823</v>
      </c>
      <c r="CZ23" s="35">
        <f>SUMIF('5 Year Supply Plan'!A:A,'JZ_BRAND SPLITS'!C23,'5 Year Supply Plan'!BE:BE)</f>
        <v>655035</v>
      </c>
      <c r="DA23" s="35">
        <f t="shared" si="50"/>
        <v>440448.13869270805</v>
      </c>
      <c r="DB23" s="35">
        <f>SUMIF('5 Year Supply Plan'!A:A,'JZ_BRAND SPLITS'!C23,'5 Year Supply Plan'!BF:BF)</f>
        <v>620422</v>
      </c>
      <c r="DC23" s="35">
        <f t="shared" si="51"/>
        <v>417174.21985696536</v>
      </c>
      <c r="DD23" s="35">
        <f>SUMIF('5 Year Supply Plan'!A:A,'JZ_BRAND SPLITS'!C23,'5 Year Supply Plan'!BG:BG)</f>
        <v>604259</v>
      </c>
      <c r="DE23" s="35">
        <f t="shared" si="52"/>
        <v>406306.15438612754</v>
      </c>
      <c r="DF23" s="35">
        <f>SUMIF('5 Year Supply Plan'!A:A,'JZ_BRAND SPLITS'!C23,'5 Year Supply Plan'!BH:BH)</f>
        <v>662615</v>
      </c>
      <c r="DG23" s="35">
        <f t="shared" si="53"/>
        <v>445544.96083395352</v>
      </c>
      <c r="DH23" s="35">
        <f>SUMIF('5 Year Supply Plan'!A:A,'JZ_BRAND SPLITS'!C23,'5 Year Supply Plan'!BI:BI)</f>
        <v>644924</v>
      </c>
      <c r="DI23" s="35">
        <f t="shared" si="54"/>
        <v>433649.46208714962</v>
      </c>
      <c r="DJ23" s="35">
        <f>SUMIF('5 Year Supply Plan'!A:A,'JZ_BRAND SPLITS'!C23,'5 Year Supply Plan'!BJ:BJ)</f>
        <v>627794</v>
      </c>
      <c r="DK23" s="35">
        <f t="shared" si="55"/>
        <v>422131.18197111599</v>
      </c>
      <c r="DL23" s="35">
        <f>SUMIF('5 Year Supply Plan'!A:A,'JZ_BRAND SPLITS'!C23,'5 Year Supply Plan'!BK:BK)</f>
        <v>572476</v>
      </c>
      <c r="DM23" s="35">
        <f t="shared" si="56"/>
        <v>384935.13880364673</v>
      </c>
      <c r="DN23" s="42">
        <f>SUMIF('5 Year Supply Plan'!A:A,'JZ_BRAND SPLITS'!C23,'5 Year Supply Plan'!BL:BL)</f>
        <v>549671</v>
      </c>
      <c r="DO23" s="35">
        <f t="shared" si="57"/>
        <v>369600.9661214432</v>
      </c>
      <c r="DP23" s="35">
        <f>SUMIF('5 Year Supply Plan'!A:A,'JZ_BRAND SPLITS'!C23,'5 Year Supply Plan'!BM:BM)</f>
        <v>637582.25</v>
      </c>
      <c r="DQ23" s="35">
        <f t="shared" si="58"/>
        <v>428712.84019328567</v>
      </c>
      <c r="DR23" s="35">
        <f>SUMIF('5 Year Supply Plan'!A:A,'JZ_BRAND SPLITS'!C23,'5 Year Supply Plan'!BN:BN)</f>
        <v>637582.25</v>
      </c>
      <c r="DS23" s="35">
        <f t="shared" si="59"/>
        <v>428712.84019328567</v>
      </c>
      <c r="DT23" s="39">
        <f t="shared" si="60"/>
        <v>20581975.403707869</v>
      </c>
      <c r="DU23" s="36">
        <f>SUMIF('5 Year Supply Plan'!A:A,'JZ_BRAND SPLITS'!C23,'5 Year Supply Plan'!BO:BO)</f>
        <v>30609538.5</v>
      </c>
    </row>
    <row r="24" spans="1:125" x14ac:dyDescent="0.25">
      <c r="A24" s="40" t="s">
        <v>262</v>
      </c>
      <c r="B24" s="40" t="s">
        <v>257</v>
      </c>
      <c r="C24" s="40" t="s">
        <v>105</v>
      </c>
      <c r="D24" s="40" t="str">
        <f t="shared" si="0"/>
        <v>C03HTEMPO AQUA</v>
      </c>
      <c r="E24" s="41">
        <v>1</v>
      </c>
      <c r="F24" s="35">
        <f>SUMIF('5 Year Supply Plan'!A:A,'JZ_BRAND SPLITS'!C24,'5 Year Supply Plan'!H:H)</f>
        <v>43823.796875</v>
      </c>
      <c r="G24" s="35">
        <f t="shared" si="1"/>
        <v>43823.796875</v>
      </c>
      <c r="H24" s="35">
        <f>SUMIF('5 Year Supply Plan'!A:A,'JZ_BRAND SPLITS'!C24,'5 Year Supply Plan'!I:I)</f>
        <v>35783.050780999998</v>
      </c>
      <c r="I24" s="35">
        <f t="shared" si="2"/>
        <v>35783.050780999998</v>
      </c>
      <c r="J24" s="35">
        <f>SUMIF('5 Year Supply Plan'!A:A,'JZ_BRAND SPLITS'!C24,'5 Year Supply Plan'!J:J)</f>
        <v>28617.769531000002</v>
      </c>
      <c r="K24" s="35">
        <f t="shared" si="3"/>
        <v>28617.769531000002</v>
      </c>
      <c r="L24" s="35">
        <f>SUMIF('5 Year Supply Plan'!A:A,'JZ_BRAND SPLITS'!C24,'5 Year Supply Plan'!K:K)</f>
        <v>45113</v>
      </c>
      <c r="M24" s="35">
        <f t="shared" si="4"/>
        <v>45113</v>
      </c>
      <c r="N24" s="35">
        <f>SUMIF('5 Year Supply Plan'!A:A,'JZ_BRAND SPLITS'!C24,'5 Year Supply Plan'!L:L)</f>
        <v>25632</v>
      </c>
      <c r="O24" s="35">
        <f t="shared" si="5"/>
        <v>25632</v>
      </c>
      <c r="P24" s="35">
        <f>SUMIF('5 Year Supply Plan'!A:A,'JZ_BRAND SPLITS'!C24,'5 Year Supply Plan'!M:M)</f>
        <v>43312</v>
      </c>
      <c r="Q24" s="35">
        <f t="shared" si="6"/>
        <v>43312</v>
      </c>
      <c r="R24" s="35">
        <f>SUMIF('5 Year Supply Plan'!A:A,'JZ_BRAND SPLITS'!C24,'5 Year Supply Plan'!N:N)</f>
        <v>44625</v>
      </c>
      <c r="S24" s="35">
        <f t="shared" si="7"/>
        <v>44625</v>
      </c>
      <c r="T24" s="35">
        <f>SUMIF('5 Year Supply Plan'!A:A,'JZ_BRAND SPLITS'!C24,'5 Year Supply Plan'!O:O)</f>
        <v>45920</v>
      </c>
      <c r="U24" s="35">
        <f t="shared" si="8"/>
        <v>45920</v>
      </c>
      <c r="V24" s="35">
        <f>SUMIF('5 Year Supply Plan'!A:A,'JZ_BRAND SPLITS'!C24,'5 Year Supply Plan'!P:P)</f>
        <v>44100</v>
      </c>
      <c r="W24" s="35">
        <f t="shared" si="9"/>
        <v>44100</v>
      </c>
      <c r="X24" s="35">
        <f>SUMIF('5 Year Supply Plan'!A:A,'JZ_BRAND SPLITS'!C24,'5 Year Supply Plan'!Q:Q)</f>
        <v>47200</v>
      </c>
      <c r="Y24" s="35">
        <f t="shared" si="10"/>
        <v>47200</v>
      </c>
      <c r="Z24" s="35">
        <f>SUMIF('5 Year Supply Plan'!A:A,'JZ_BRAND SPLITS'!C24,'5 Year Supply Plan'!R:R)</f>
        <v>44840</v>
      </c>
      <c r="AA24" s="35">
        <f t="shared" si="11"/>
        <v>44840</v>
      </c>
      <c r="AB24" s="35">
        <f>SUMIF('5 Year Supply Plan'!A:A,'JZ_BRAND SPLITS'!C24,'5 Year Supply Plan'!S:S)</f>
        <v>50150</v>
      </c>
      <c r="AC24" s="35">
        <f t="shared" si="12"/>
        <v>50150</v>
      </c>
      <c r="AD24" s="35">
        <f>SUMIF('5 Year Supply Plan'!A:A,'JZ_BRAND SPLITS'!C24,'5 Year Supply Plan'!T:T)</f>
        <v>54314</v>
      </c>
      <c r="AE24" s="35">
        <f t="shared" si="13"/>
        <v>54314</v>
      </c>
      <c r="AF24" s="35">
        <f>SUMIF('5 Year Supply Plan'!A:A,'JZ_BRAND SPLITS'!C24,'5 Year Supply Plan'!U:U)</f>
        <v>45359</v>
      </c>
      <c r="AG24" s="35">
        <f t="shared" si="14"/>
        <v>45359</v>
      </c>
      <c r="AH24" s="35">
        <f>SUMIF('5 Year Supply Plan'!A:A,'JZ_BRAND SPLITS'!C24,'5 Year Supply Plan'!V:V)</f>
        <v>44573</v>
      </c>
      <c r="AI24" s="35">
        <f t="shared" si="15"/>
        <v>44573</v>
      </c>
      <c r="AJ24" s="35">
        <f>SUMIF('5 Year Supply Plan'!A:A,'JZ_BRAND SPLITS'!C24,'5 Year Supply Plan'!W:W)</f>
        <v>46578</v>
      </c>
      <c r="AK24" s="35">
        <f t="shared" si="16"/>
        <v>46578</v>
      </c>
      <c r="AL24" s="35">
        <f>SUMIF('5 Year Supply Plan'!A:A,'JZ_BRAND SPLITS'!C24,'5 Year Supply Plan'!X:X)</f>
        <v>52108</v>
      </c>
      <c r="AM24" s="35">
        <f t="shared" si="17"/>
        <v>52108</v>
      </c>
      <c r="AN24" s="35">
        <f>SUMIF('5 Year Supply Plan'!A:A,'JZ_BRAND SPLITS'!C24,'5 Year Supply Plan'!Y:Y)</f>
        <v>52103</v>
      </c>
      <c r="AO24" s="35">
        <f t="shared" si="18"/>
        <v>52103</v>
      </c>
      <c r="AP24" s="35">
        <f>SUMIF('5 Year Supply Plan'!A:A,'JZ_BRAND SPLITS'!C24,'5 Year Supply Plan'!Z:Z)</f>
        <v>51424</v>
      </c>
      <c r="AQ24" s="35">
        <f t="shared" si="19"/>
        <v>51424</v>
      </c>
      <c r="AR24" s="35">
        <f>SUMIF('5 Year Supply Plan'!A:A,'JZ_BRAND SPLITS'!C24,'5 Year Supply Plan'!AA:AA)</f>
        <v>49827</v>
      </c>
      <c r="AS24" s="35">
        <f t="shared" si="20"/>
        <v>49827</v>
      </c>
      <c r="AT24" s="35">
        <f>SUMIF('5 Year Supply Plan'!A:A,'JZ_BRAND SPLITS'!C24,'5 Year Supply Plan'!AB:AB)</f>
        <v>50306</v>
      </c>
      <c r="AU24" s="35">
        <f t="shared" si="21"/>
        <v>50306</v>
      </c>
      <c r="AV24" s="35">
        <f>SUMIF('5 Year Supply Plan'!A:A,'JZ_BRAND SPLITS'!C24,'5 Year Supply Plan'!AC:AC)</f>
        <v>54185</v>
      </c>
      <c r="AW24" s="35">
        <f t="shared" si="22"/>
        <v>54185</v>
      </c>
      <c r="AX24" s="35">
        <f>SUMIF('5 Year Supply Plan'!A:A,'JZ_BRAND SPLITS'!C24,'5 Year Supply Plan'!AD:AD)</f>
        <v>47997</v>
      </c>
      <c r="AY24" s="35">
        <f t="shared" si="23"/>
        <v>47997</v>
      </c>
      <c r="AZ24" s="35">
        <f>SUMIF('5 Year Supply Plan'!A:A,'JZ_BRAND SPLITS'!C24,'5 Year Supply Plan'!AE:AE)</f>
        <v>57637</v>
      </c>
      <c r="BA24" s="35">
        <f t="shared" si="24"/>
        <v>57637</v>
      </c>
      <c r="BB24" s="35">
        <f>SUMIF('5 Year Supply Plan'!A:A,'JZ_BRAND SPLITS'!C24,'5 Year Supply Plan'!AF:AF)</f>
        <v>62619</v>
      </c>
      <c r="BC24" s="35">
        <f t="shared" si="25"/>
        <v>62619</v>
      </c>
      <c r="BD24" s="35">
        <f>SUMIF('5 Year Supply Plan'!A:A,'JZ_BRAND SPLITS'!C24,'5 Year Supply Plan'!AG:AG)</f>
        <v>52580</v>
      </c>
      <c r="BE24" s="35">
        <f t="shared" si="26"/>
        <v>52580</v>
      </c>
      <c r="BF24" s="35">
        <f>SUMIF('5 Year Supply Plan'!A:A,'JZ_BRAND SPLITS'!C24,'5 Year Supply Plan'!AH:AH)</f>
        <v>51934</v>
      </c>
      <c r="BG24" s="35">
        <f t="shared" si="27"/>
        <v>51934</v>
      </c>
      <c r="BH24" s="35">
        <f>SUMIF('5 Year Supply Plan'!A:A,'JZ_BRAND SPLITS'!C24,'5 Year Supply Plan'!AI:AI)</f>
        <v>54329</v>
      </c>
      <c r="BI24" s="35">
        <f t="shared" si="28"/>
        <v>54329</v>
      </c>
      <c r="BJ24" s="35">
        <f>SUMIF('5 Year Supply Plan'!A:A,'JZ_BRAND SPLITS'!C24,'5 Year Supply Plan'!AJ:AJ)</f>
        <v>60773</v>
      </c>
      <c r="BK24" s="35">
        <f t="shared" si="29"/>
        <v>60773</v>
      </c>
      <c r="BL24" s="35">
        <f>SUMIF('5 Year Supply Plan'!A:A,'JZ_BRAND SPLITS'!C24,'5 Year Supply Plan'!AK:AK)</f>
        <v>60789</v>
      </c>
      <c r="BM24" s="35">
        <f t="shared" si="30"/>
        <v>60789</v>
      </c>
      <c r="BN24" s="35">
        <f>SUMIF('5 Year Supply Plan'!A:A,'JZ_BRAND SPLITS'!C24,'5 Year Supply Plan'!AL:AL)</f>
        <v>60058</v>
      </c>
      <c r="BO24" s="35">
        <f t="shared" si="31"/>
        <v>60058</v>
      </c>
      <c r="BP24" s="35">
        <f>SUMIF('5 Year Supply Plan'!A:A,'JZ_BRAND SPLITS'!C24,'5 Year Supply Plan'!AM:AM)</f>
        <v>58288</v>
      </c>
      <c r="BQ24" s="35">
        <f t="shared" si="32"/>
        <v>58288</v>
      </c>
      <c r="BR24" s="35">
        <f>SUMIF('5 Year Supply Plan'!A:A,'JZ_BRAND SPLITS'!C24,'5 Year Supply Plan'!AN:AN)</f>
        <v>58981</v>
      </c>
      <c r="BS24" s="35">
        <f t="shared" si="33"/>
        <v>58981</v>
      </c>
      <c r="BT24" s="35">
        <f>SUMIF('5 Year Supply Plan'!A:A,'JZ_BRAND SPLITS'!C24,'5 Year Supply Plan'!AO:AO)</f>
        <v>63559</v>
      </c>
      <c r="BU24" s="35">
        <f t="shared" si="34"/>
        <v>63559</v>
      </c>
      <c r="BV24" s="35">
        <f>SUMIF('5 Year Supply Plan'!A:A,'JZ_BRAND SPLITS'!C24,'5 Year Supply Plan'!AP:AP)</f>
        <v>56304</v>
      </c>
      <c r="BW24" s="35">
        <f t="shared" si="35"/>
        <v>56304</v>
      </c>
      <c r="BX24" s="35">
        <f>SUMIF('5 Year Supply Plan'!A:A,'JZ_BRAND SPLITS'!C24,'5 Year Supply Plan'!AQ:AQ)</f>
        <v>67601</v>
      </c>
      <c r="BY24" s="35">
        <f t="shared" si="36"/>
        <v>67601</v>
      </c>
      <c r="BZ24" s="35">
        <f>SUMIF('5 Year Supply Plan'!A:A,'JZ_BRAND SPLITS'!C24,'5 Year Supply Plan'!AR:AR)</f>
        <v>73410</v>
      </c>
      <c r="CA24" s="35">
        <f t="shared" si="37"/>
        <v>73410</v>
      </c>
      <c r="CB24" s="35">
        <f>SUMIF('5 Year Supply Plan'!A:A,'JZ_BRAND SPLITS'!C24,'5 Year Supply Plan'!AS:AS)</f>
        <v>61338</v>
      </c>
      <c r="CC24" s="35">
        <f t="shared" si="38"/>
        <v>61338</v>
      </c>
      <c r="CD24" s="35">
        <f>SUMIF('5 Year Supply Plan'!A:A,'JZ_BRAND SPLITS'!C24,'5 Year Supply Plan'!AT:AT)</f>
        <v>60311</v>
      </c>
      <c r="CE24" s="35">
        <f t="shared" si="39"/>
        <v>60311</v>
      </c>
      <c r="CF24" s="35">
        <f>SUMIF('5 Year Supply Plan'!A:A,'JZ_BRAND SPLITS'!C24,'5 Year Supply Plan'!AU:AU)</f>
        <v>63173</v>
      </c>
      <c r="CG24" s="35">
        <f t="shared" si="40"/>
        <v>63173</v>
      </c>
      <c r="CH24" s="35">
        <f>SUMIF('5 Year Supply Plan'!A:A,'JZ_BRAND SPLITS'!C24,'5 Year Supply Plan'!AV:AV)</f>
        <v>70665</v>
      </c>
      <c r="CI24" s="35">
        <f t="shared" si="41"/>
        <v>70665</v>
      </c>
      <c r="CJ24" s="35">
        <f>SUMIF('5 Year Supply Plan'!A:A,'JZ_BRAND SPLITS'!C24,'5 Year Supply Plan'!AW:AW)</f>
        <v>70974</v>
      </c>
      <c r="CK24" s="35">
        <f t="shared" si="42"/>
        <v>70974</v>
      </c>
      <c r="CL24" s="35">
        <f>SUMIF('5 Year Supply Plan'!A:A,'JZ_BRAND SPLITS'!C24,'5 Year Supply Plan'!AX:AX)</f>
        <v>69815</v>
      </c>
      <c r="CM24" s="35">
        <f t="shared" si="43"/>
        <v>69815</v>
      </c>
      <c r="CN24" s="35">
        <f>SUMIF('5 Year Supply Plan'!A:A,'JZ_BRAND SPLITS'!C24,'5 Year Supply Plan'!AY:AY)</f>
        <v>65651</v>
      </c>
      <c r="CO24" s="35">
        <f t="shared" si="44"/>
        <v>65651</v>
      </c>
      <c r="CP24" s="35">
        <f>SUMIF('5 Year Supply Plan'!A:A,'JZ_BRAND SPLITS'!C24,'5 Year Supply Plan'!AZ:AZ)</f>
        <v>65147</v>
      </c>
      <c r="CQ24" s="35">
        <f t="shared" si="45"/>
        <v>65147</v>
      </c>
      <c r="CR24" s="35">
        <f>SUMIF('5 Year Supply Plan'!A:A,'JZ_BRAND SPLITS'!C24,'5 Year Supply Plan'!BA:BA)</f>
        <v>70211</v>
      </c>
      <c r="CS24" s="35">
        <f t="shared" si="46"/>
        <v>70211</v>
      </c>
      <c r="CT24" s="35">
        <f>SUMIF('5 Year Supply Plan'!A:A,'JZ_BRAND SPLITS'!C24,'5 Year Supply Plan'!BB:BB)</f>
        <v>61986</v>
      </c>
      <c r="CU24" s="35">
        <f t="shared" si="47"/>
        <v>61986</v>
      </c>
      <c r="CV24" s="35">
        <f>SUMIF('5 Year Supply Plan'!A:A,'JZ_BRAND SPLITS'!C24,'5 Year Supply Plan'!BC:BC)</f>
        <v>74241</v>
      </c>
      <c r="CW24" s="35">
        <f t="shared" si="48"/>
        <v>74241</v>
      </c>
      <c r="CX24" s="35">
        <f>SUMIF('5 Year Supply Plan'!A:A,'JZ_BRAND SPLITS'!C24,'5 Year Supply Plan'!BD:BD)</f>
        <v>80794</v>
      </c>
      <c r="CY24" s="35">
        <f t="shared" si="49"/>
        <v>80794</v>
      </c>
      <c r="CZ24" s="35">
        <f>SUMIF('5 Year Supply Plan'!A:A,'JZ_BRAND SPLITS'!C24,'5 Year Supply Plan'!BE:BE)</f>
        <v>67904</v>
      </c>
      <c r="DA24" s="35">
        <f t="shared" si="50"/>
        <v>67904</v>
      </c>
      <c r="DB24" s="35">
        <f>SUMIF('5 Year Supply Plan'!A:A,'JZ_BRAND SPLITS'!C24,'5 Year Supply Plan'!BF:BF)</f>
        <v>67137</v>
      </c>
      <c r="DC24" s="35">
        <f t="shared" si="51"/>
        <v>67137</v>
      </c>
      <c r="DD24" s="35">
        <f>SUMIF('5 Year Supply Plan'!A:A,'JZ_BRAND SPLITS'!C24,'5 Year Supply Plan'!BG:BG)</f>
        <v>70313</v>
      </c>
      <c r="DE24" s="35">
        <f t="shared" si="52"/>
        <v>70313</v>
      </c>
      <c r="DF24" s="35">
        <f>SUMIF('5 Year Supply Plan'!A:A,'JZ_BRAND SPLITS'!C24,'5 Year Supply Plan'!BH:BH)</f>
        <v>78681</v>
      </c>
      <c r="DG24" s="35">
        <f t="shared" si="53"/>
        <v>78681</v>
      </c>
      <c r="DH24" s="35">
        <f>SUMIF('5 Year Supply Plan'!A:A,'JZ_BRAND SPLITS'!C24,'5 Year Supply Plan'!BI:BI)</f>
        <v>78049</v>
      </c>
      <c r="DI24" s="35">
        <f t="shared" si="54"/>
        <v>78049</v>
      </c>
      <c r="DJ24" s="35">
        <f>SUMIF('5 Year Supply Plan'!A:A,'JZ_BRAND SPLITS'!C24,'5 Year Supply Plan'!BJ:BJ)</f>
        <v>73448</v>
      </c>
      <c r="DK24" s="35">
        <f t="shared" si="55"/>
        <v>73448</v>
      </c>
      <c r="DL24" s="35">
        <f>SUMIF('5 Year Supply Plan'!A:A,'JZ_BRAND SPLITS'!C24,'5 Year Supply Plan'!BK:BK)</f>
        <v>65202</v>
      </c>
      <c r="DM24" s="35">
        <f t="shared" si="56"/>
        <v>65202</v>
      </c>
      <c r="DN24" s="42">
        <f>SUMIF('5 Year Supply Plan'!A:A,'JZ_BRAND SPLITS'!C24,'5 Year Supply Plan'!BL:BL)</f>
        <v>62628</v>
      </c>
      <c r="DO24" s="35">
        <f t="shared" si="57"/>
        <v>62628</v>
      </c>
      <c r="DP24" s="35">
        <f>SUMIF('5 Year Supply Plan'!A:A,'JZ_BRAND SPLITS'!C24,'5 Year Supply Plan'!BM:BM)</f>
        <v>72691</v>
      </c>
      <c r="DQ24" s="35">
        <f t="shared" si="58"/>
        <v>72691</v>
      </c>
      <c r="DR24" s="35">
        <f>SUMIF('5 Year Supply Plan'!A:A,'JZ_BRAND SPLITS'!C24,'5 Year Supply Plan'!BN:BN)</f>
        <v>72691</v>
      </c>
      <c r="DS24" s="35">
        <f t="shared" si="59"/>
        <v>72691</v>
      </c>
      <c r="DT24" s="39">
        <f t="shared" si="60"/>
        <v>3409802.6171869999</v>
      </c>
      <c r="DU24" s="36">
        <f>SUMIF('5 Year Supply Plan'!A:A,'JZ_BRAND SPLITS'!C24,'5 Year Supply Plan'!BO:BO)</f>
        <v>3409802.6171869999</v>
      </c>
    </row>
    <row r="25" spans="1:125" x14ac:dyDescent="0.25">
      <c r="A25" s="40" t="s">
        <v>263</v>
      </c>
      <c r="B25" s="40" t="s">
        <v>257</v>
      </c>
      <c r="C25" s="40" t="s">
        <v>81</v>
      </c>
      <c r="D25" s="40" t="str">
        <f t="shared" si="0"/>
        <v>C04AINFINITI</v>
      </c>
      <c r="E25" s="41">
        <v>5.7959891202512687E-3</v>
      </c>
      <c r="F25" s="35">
        <f>SUMIF('5 Year Supply Plan'!A:A,'JZ_BRAND SPLITS'!C25,'5 Year Supply Plan'!H:H)</f>
        <v>694365.125</v>
      </c>
      <c r="G25" s="35">
        <f t="shared" si="1"/>
        <v>4024.5327099819124</v>
      </c>
      <c r="H25" s="35">
        <f>SUMIF('5 Year Supply Plan'!A:A,'JZ_BRAND SPLITS'!C25,'5 Year Supply Plan'!I:I)</f>
        <v>824439.75</v>
      </c>
      <c r="I25" s="35">
        <f t="shared" si="2"/>
        <v>4778.443821302676</v>
      </c>
      <c r="J25" s="35">
        <f>SUMIF('5 Year Supply Plan'!A:A,'JZ_BRAND SPLITS'!C25,'5 Year Supply Plan'!J:J)</f>
        <v>685154.25</v>
      </c>
      <c r="K25" s="35">
        <f t="shared" si="3"/>
        <v>3971.1465786939179</v>
      </c>
      <c r="L25" s="35">
        <f>SUMIF('5 Year Supply Plan'!A:A,'JZ_BRAND SPLITS'!C25,'5 Year Supply Plan'!K:K)</f>
        <v>652395</v>
      </c>
      <c r="M25" s="35">
        <f t="shared" si="4"/>
        <v>3781.2743221063265</v>
      </c>
      <c r="N25" s="35">
        <f>SUMIF('5 Year Supply Plan'!A:A,'JZ_BRAND SPLITS'!C25,'5 Year Supply Plan'!L:L)</f>
        <v>400000</v>
      </c>
      <c r="O25" s="35">
        <f t="shared" si="5"/>
        <v>2318.3956481005075</v>
      </c>
      <c r="P25" s="35">
        <f>SUMIF('5 Year Supply Plan'!A:A,'JZ_BRAND SPLITS'!C25,'5 Year Supply Plan'!M:M)</f>
        <v>650268</v>
      </c>
      <c r="Q25" s="35">
        <f t="shared" si="6"/>
        <v>3768.9462532475518</v>
      </c>
      <c r="R25" s="35">
        <f>SUMIF('5 Year Supply Plan'!A:A,'JZ_BRAND SPLITS'!C25,'5 Year Supply Plan'!N:N)</f>
        <v>632412</v>
      </c>
      <c r="S25" s="35">
        <f t="shared" si="7"/>
        <v>3665.4530715163455</v>
      </c>
      <c r="T25" s="35">
        <f>SUMIF('5 Year Supply Plan'!A:A,'JZ_BRAND SPLITS'!C25,'5 Year Supply Plan'!O:O)</f>
        <v>643687</v>
      </c>
      <c r="U25" s="35">
        <f t="shared" si="8"/>
        <v>3730.8028488471782</v>
      </c>
      <c r="V25" s="35">
        <f>SUMIF('5 Year Supply Plan'!A:A,'JZ_BRAND SPLITS'!C25,'5 Year Supply Plan'!P:P)</f>
        <v>639404</v>
      </c>
      <c r="W25" s="35">
        <f t="shared" si="9"/>
        <v>3705.9786274451421</v>
      </c>
      <c r="X25" s="35">
        <f>SUMIF('5 Year Supply Plan'!A:A,'JZ_BRAND SPLITS'!C25,'5 Year Supply Plan'!Q:Q)</f>
        <v>625246</v>
      </c>
      <c r="Y25" s="35">
        <f t="shared" si="10"/>
        <v>3623.9190134806249</v>
      </c>
      <c r="Z25" s="35">
        <f>SUMIF('5 Year Supply Plan'!A:A,'JZ_BRAND SPLITS'!C25,'5 Year Supply Plan'!R:R)</f>
        <v>617521</v>
      </c>
      <c r="AA25" s="35">
        <f t="shared" si="11"/>
        <v>3579.1449975266837</v>
      </c>
      <c r="AB25" s="35">
        <f>SUMIF('5 Year Supply Plan'!A:A,'JZ_BRAND SPLITS'!C25,'5 Year Supply Plan'!S:S)</f>
        <v>672459</v>
      </c>
      <c r="AC25" s="35">
        <f t="shared" si="12"/>
        <v>3897.5650478150478</v>
      </c>
      <c r="AD25" s="35">
        <f>SUMIF('5 Year Supply Plan'!A:A,'JZ_BRAND SPLITS'!C25,'5 Year Supply Plan'!T:T)</f>
        <v>677531</v>
      </c>
      <c r="AE25" s="35">
        <f t="shared" si="13"/>
        <v>3926.9623046329625</v>
      </c>
      <c r="AF25" s="35">
        <f>SUMIF('5 Year Supply Plan'!A:A,'JZ_BRAND SPLITS'!C25,'5 Year Supply Plan'!U:U)</f>
        <v>627555</v>
      </c>
      <c r="AG25" s="35">
        <f t="shared" si="14"/>
        <v>3637.3019523592848</v>
      </c>
      <c r="AH25" s="35">
        <f>SUMIF('5 Year Supply Plan'!A:A,'JZ_BRAND SPLITS'!C25,'5 Year Supply Plan'!V:V)</f>
        <v>630297</v>
      </c>
      <c r="AI25" s="35">
        <f t="shared" si="15"/>
        <v>3653.1945545270137</v>
      </c>
      <c r="AJ25" s="35">
        <f>SUMIF('5 Year Supply Plan'!A:A,'JZ_BRAND SPLITS'!C25,'5 Year Supply Plan'!W:W)</f>
        <v>626398</v>
      </c>
      <c r="AK25" s="35">
        <f t="shared" si="16"/>
        <v>3630.5959929471542</v>
      </c>
      <c r="AL25" s="35">
        <f>SUMIF('5 Year Supply Plan'!A:A,'JZ_BRAND SPLITS'!C25,'5 Year Supply Plan'!X:X)</f>
        <v>698606</v>
      </c>
      <c r="AM25" s="35">
        <f t="shared" si="17"/>
        <v>4049.1127753422579</v>
      </c>
      <c r="AN25" s="35">
        <f>SUMIF('5 Year Supply Plan'!A:A,'JZ_BRAND SPLITS'!C25,'5 Year Supply Plan'!Y:Y)</f>
        <v>677121</v>
      </c>
      <c r="AO25" s="35">
        <f t="shared" si="18"/>
        <v>3924.5859490936591</v>
      </c>
      <c r="AP25" s="35">
        <f>SUMIF('5 Year Supply Plan'!A:A,'JZ_BRAND SPLITS'!C25,'5 Year Supply Plan'!Z:Z)</f>
        <v>601675</v>
      </c>
      <c r="AQ25" s="35">
        <f t="shared" si="19"/>
        <v>3487.3017539271823</v>
      </c>
      <c r="AR25" s="35">
        <f>SUMIF('5 Year Supply Plan'!A:A,'JZ_BRAND SPLITS'!C25,'5 Year Supply Plan'!AA:AA)</f>
        <v>632136</v>
      </c>
      <c r="AS25" s="35">
        <f t="shared" si="20"/>
        <v>3663.8533785191562</v>
      </c>
      <c r="AT25" s="35">
        <f>SUMIF('5 Year Supply Plan'!A:A,'JZ_BRAND SPLITS'!C25,'5 Year Supply Plan'!AB:AB)</f>
        <v>667494</v>
      </c>
      <c r="AU25" s="35">
        <f t="shared" si="21"/>
        <v>3868.7879618330003</v>
      </c>
      <c r="AV25" s="35">
        <f>SUMIF('5 Year Supply Plan'!A:A,'JZ_BRAND SPLITS'!C25,'5 Year Supply Plan'!AC:AC)</f>
        <v>671189</v>
      </c>
      <c r="AW25" s="35">
        <f t="shared" si="22"/>
        <v>3890.2041416323286</v>
      </c>
      <c r="AX25" s="35">
        <f>SUMIF('5 Year Supply Plan'!A:A,'JZ_BRAND SPLITS'!C25,'5 Year Supply Plan'!AD:AD)</f>
        <v>579605</v>
      </c>
      <c r="AY25" s="35">
        <f t="shared" si="23"/>
        <v>3359.3842740432365</v>
      </c>
      <c r="AZ25" s="35">
        <f>SUMIF('5 Year Supply Plan'!A:A,'JZ_BRAND SPLITS'!C25,'5 Year Supply Plan'!AE:AE)</f>
        <v>718100</v>
      </c>
      <c r="BA25" s="35">
        <f t="shared" si="24"/>
        <v>4162.0997872524358</v>
      </c>
      <c r="BB25" s="35">
        <f>SUMIF('5 Year Supply Plan'!A:A,'JZ_BRAND SPLITS'!C25,'5 Year Supply Plan'!AF:AF)</f>
        <v>724015</v>
      </c>
      <c r="BC25" s="35">
        <f t="shared" si="25"/>
        <v>4196.3830628987225</v>
      </c>
      <c r="BD25" s="35">
        <f>SUMIF('5 Year Supply Plan'!A:A,'JZ_BRAND SPLITS'!C25,'5 Year Supply Plan'!AG:AG)</f>
        <v>670852</v>
      </c>
      <c r="BE25" s="35">
        <f t="shared" si="26"/>
        <v>3888.2508932988039</v>
      </c>
      <c r="BF25" s="35">
        <f>SUMIF('5 Year Supply Plan'!A:A,'JZ_BRAND SPLITS'!C25,'5 Year Supply Plan'!AH:AH)</f>
        <v>671867</v>
      </c>
      <c r="BG25" s="35">
        <f t="shared" si="27"/>
        <v>3894.1338222558593</v>
      </c>
      <c r="BH25" s="35">
        <f>SUMIF('5 Year Supply Plan'!A:A,'JZ_BRAND SPLITS'!C25,'5 Year Supply Plan'!AI:AI)</f>
        <v>668727</v>
      </c>
      <c r="BI25" s="35">
        <f t="shared" si="28"/>
        <v>3875.9344164182703</v>
      </c>
      <c r="BJ25" s="35">
        <f>SUMIF('5 Year Supply Plan'!A:A,'JZ_BRAND SPLITS'!C25,'5 Year Supply Plan'!AJ:AJ)</f>
        <v>744642</v>
      </c>
      <c r="BK25" s="35">
        <f t="shared" si="29"/>
        <v>4315.9369304821448</v>
      </c>
      <c r="BL25" s="35">
        <f>SUMIF('5 Year Supply Plan'!A:A,'JZ_BRAND SPLITS'!C25,'5 Year Supply Plan'!AK:AK)</f>
        <v>721918</v>
      </c>
      <c r="BM25" s="35">
        <f t="shared" si="30"/>
        <v>4184.228873713555</v>
      </c>
      <c r="BN25" s="35">
        <f>SUMIF('5 Year Supply Plan'!A:A,'JZ_BRAND SPLITS'!C25,'5 Year Supply Plan'!AL:AL)</f>
        <v>644990</v>
      </c>
      <c r="BO25" s="35">
        <f t="shared" si="31"/>
        <v>3738.3550226708658</v>
      </c>
      <c r="BP25" s="35">
        <f>SUMIF('5 Year Supply Plan'!A:A,'JZ_BRAND SPLITS'!C25,'5 Year Supply Plan'!AM:AM)</f>
        <v>673843</v>
      </c>
      <c r="BQ25" s="35">
        <f t="shared" si="32"/>
        <v>3905.5866967574757</v>
      </c>
      <c r="BR25" s="35">
        <f>SUMIF('5 Year Supply Plan'!A:A,'JZ_BRAND SPLITS'!C25,'5 Year Supply Plan'!AN:AN)</f>
        <v>708550</v>
      </c>
      <c r="BS25" s="35">
        <f t="shared" si="33"/>
        <v>4106.748091154036</v>
      </c>
      <c r="BT25" s="35">
        <f>SUMIF('5 Year Supply Plan'!A:A,'JZ_BRAND SPLITS'!C25,'5 Year Supply Plan'!AO:AO)</f>
        <v>719012</v>
      </c>
      <c r="BU25" s="35">
        <f t="shared" si="34"/>
        <v>4167.3857293301053</v>
      </c>
      <c r="BV25" s="35">
        <f>SUMIF('5 Year Supply Plan'!A:A,'JZ_BRAND SPLITS'!C25,'5 Year Supply Plan'!AP:AP)</f>
        <v>618187</v>
      </c>
      <c r="BW25" s="35">
        <f t="shared" si="35"/>
        <v>3583.005126280771</v>
      </c>
      <c r="BX25" s="35">
        <f>SUMIF('5 Year Supply Plan'!A:A,'JZ_BRAND SPLITS'!C25,'5 Year Supply Plan'!AQ:AQ)</f>
        <v>763295</v>
      </c>
      <c r="BY25" s="35">
        <f t="shared" si="36"/>
        <v>4424.0495155421922</v>
      </c>
      <c r="BZ25" s="35">
        <f>SUMIF('5 Year Supply Plan'!A:A,'JZ_BRAND SPLITS'!C25,'5 Year Supply Plan'!AR:AR)</f>
        <v>769796</v>
      </c>
      <c r="CA25" s="35">
        <f t="shared" si="37"/>
        <v>4461.729240812946</v>
      </c>
      <c r="CB25" s="35">
        <f>SUMIF('5 Year Supply Plan'!A:A,'JZ_BRAND SPLITS'!C25,'5 Year Supply Plan'!AS:AS)</f>
        <v>713937</v>
      </c>
      <c r="CC25" s="35">
        <f t="shared" si="38"/>
        <v>4137.9710845448299</v>
      </c>
      <c r="CD25" s="35">
        <f>SUMIF('5 Year Supply Plan'!A:A,'JZ_BRAND SPLITS'!C25,'5 Year Supply Plan'!AT:AT)</f>
        <v>712039</v>
      </c>
      <c r="CE25" s="35">
        <f t="shared" si="39"/>
        <v>4126.9702971945935</v>
      </c>
      <c r="CF25" s="35">
        <f>SUMIF('5 Year Supply Plan'!A:A,'JZ_BRAND SPLITS'!C25,'5 Year Supply Plan'!AU:AU)</f>
        <v>710212</v>
      </c>
      <c r="CG25" s="35">
        <f t="shared" si="40"/>
        <v>4116.3810250718943</v>
      </c>
      <c r="CH25" s="35">
        <f>SUMIF('5 Year Supply Plan'!A:A,'JZ_BRAND SPLITS'!C25,'5 Year Supply Plan'!AV:AV)</f>
        <v>789265</v>
      </c>
      <c r="CI25" s="35">
        <f t="shared" si="41"/>
        <v>4574.5713529951172</v>
      </c>
      <c r="CJ25" s="35">
        <f>SUMIF('5 Year Supply Plan'!A:A,'JZ_BRAND SPLITS'!C25,'5 Year Supply Plan'!AW:AW)</f>
        <v>765615</v>
      </c>
      <c r="CK25" s="35">
        <f t="shared" si="42"/>
        <v>4437.4962103011749</v>
      </c>
      <c r="CL25" s="35">
        <f>SUMIF('5 Year Supply Plan'!A:A,'JZ_BRAND SPLITS'!C25,'5 Year Supply Plan'!AX:AX)</f>
        <v>690963</v>
      </c>
      <c r="CM25" s="35">
        <f t="shared" si="43"/>
        <v>4004.8140304961776</v>
      </c>
      <c r="CN25" s="35">
        <f>SUMIF('5 Year Supply Plan'!A:A,'JZ_BRAND SPLITS'!C25,'5 Year Supply Plan'!AY:AY)</f>
        <v>712113</v>
      </c>
      <c r="CO25" s="35">
        <f t="shared" si="44"/>
        <v>4127.3992003894919</v>
      </c>
      <c r="CP25" s="35">
        <f>SUMIF('5 Year Supply Plan'!A:A,'JZ_BRAND SPLITS'!C25,'5 Year Supply Plan'!AZ:AZ)</f>
        <v>749275</v>
      </c>
      <c r="CQ25" s="35">
        <f t="shared" si="45"/>
        <v>4342.7897480762695</v>
      </c>
      <c r="CR25" s="35">
        <f>SUMIF('5 Year Supply Plan'!A:A,'JZ_BRAND SPLITS'!C25,'5 Year Supply Plan'!BA:BA)</f>
        <v>763112</v>
      </c>
      <c r="CS25" s="35">
        <f t="shared" si="46"/>
        <v>4422.9888495331861</v>
      </c>
      <c r="CT25" s="35">
        <f>SUMIF('5 Year Supply Plan'!A:A,'JZ_BRAND SPLITS'!C25,'5 Year Supply Plan'!BB:BB)</f>
        <v>653184</v>
      </c>
      <c r="CU25" s="35">
        <f t="shared" si="47"/>
        <v>3785.8473575222047</v>
      </c>
      <c r="CV25" s="35">
        <f>SUMIF('5 Year Supply Plan'!A:A,'JZ_BRAND SPLITS'!C25,'5 Year Supply Plan'!BC:BC)</f>
        <v>805035</v>
      </c>
      <c r="CW25" s="35">
        <f t="shared" si="48"/>
        <v>4665.9741014214796</v>
      </c>
      <c r="CX25" s="35">
        <f>SUMIF('5 Year Supply Plan'!A:A,'JZ_BRAND SPLITS'!C25,'5 Year Supply Plan'!BD:BD)</f>
        <v>811507</v>
      </c>
      <c r="CY25" s="35">
        <f t="shared" si="49"/>
        <v>4703.4857430077464</v>
      </c>
      <c r="CZ25" s="35">
        <f>SUMIF('5 Year Supply Plan'!A:A,'JZ_BRAND SPLITS'!C25,'5 Year Supply Plan'!BE:BE)</f>
        <v>753549</v>
      </c>
      <c r="DA25" s="35">
        <f t="shared" si="50"/>
        <v>4367.5618055762234</v>
      </c>
      <c r="DB25" s="35">
        <f>SUMIF('5 Year Supply Plan'!A:A,'JZ_BRAND SPLITS'!C25,'5 Year Supply Plan'!BF:BF)</f>
        <v>748725</v>
      </c>
      <c r="DC25" s="35">
        <f t="shared" si="51"/>
        <v>4339.601954060131</v>
      </c>
      <c r="DD25" s="35">
        <f>SUMIF('5 Year Supply Plan'!A:A,'JZ_BRAND SPLITS'!C25,'5 Year Supply Plan'!BG:BG)</f>
        <v>748144</v>
      </c>
      <c r="DE25" s="35">
        <f t="shared" si="52"/>
        <v>4336.2344843812652</v>
      </c>
      <c r="DF25" s="35">
        <f>SUMIF('5 Year Supply Plan'!A:A,'JZ_BRAND SPLITS'!C25,'5 Year Supply Plan'!BH:BH)</f>
        <v>830099</v>
      </c>
      <c r="DG25" s="35">
        <f t="shared" si="53"/>
        <v>4811.2447727314575</v>
      </c>
      <c r="DH25" s="35">
        <f>SUMIF('5 Year Supply Plan'!A:A,'JZ_BRAND SPLITS'!C25,'5 Year Supply Plan'!BI:BI)</f>
        <v>797745</v>
      </c>
      <c r="DI25" s="35">
        <f t="shared" si="54"/>
        <v>4623.7213407348481</v>
      </c>
      <c r="DJ25" s="35">
        <f>SUMIF('5 Year Supply Plan'!A:A,'JZ_BRAND SPLITS'!C25,'5 Year Supply Plan'!BJ:BJ)</f>
        <v>701599</v>
      </c>
      <c r="DK25" s="35">
        <f t="shared" si="55"/>
        <v>4066.4601707791699</v>
      </c>
      <c r="DL25" s="35">
        <f>SUMIF('5 Year Supply Plan'!A:A,'JZ_BRAND SPLITS'!C25,'5 Year Supply Plan'!BK:BK)</f>
        <v>722492</v>
      </c>
      <c r="DM25" s="35">
        <f t="shared" si="56"/>
        <v>4187.5557714685792</v>
      </c>
      <c r="DN25" s="42">
        <f>SUMIF('5 Year Supply Plan'!A:A,'JZ_BRAND SPLITS'!C25,'5 Year Supply Plan'!BL:BL)</f>
        <v>799900</v>
      </c>
      <c r="DO25" s="35">
        <f t="shared" si="57"/>
        <v>4636.2116972889899</v>
      </c>
      <c r="DP25" s="35">
        <f>SUMIF('5 Year Supply Plan'!A:A,'JZ_BRAND SPLITS'!C25,'5 Year Supply Plan'!BM:BM)</f>
        <v>764232.5</v>
      </c>
      <c r="DQ25" s="35">
        <f t="shared" si="58"/>
        <v>4429.4832553424276</v>
      </c>
      <c r="DR25" s="35">
        <f>SUMIF('5 Year Supply Plan'!A:A,'JZ_BRAND SPLITS'!C25,'5 Year Supply Plan'!BN:BN)</f>
        <v>764232.5</v>
      </c>
      <c r="DS25" s="35">
        <f t="shared" si="59"/>
        <v>4429.4832553424276</v>
      </c>
      <c r="DT25" s="39">
        <f t="shared" si="60"/>
        <v>238514.96269604901</v>
      </c>
      <c r="DU25" s="36">
        <f>SUMIF('5 Year Supply Plan'!A:A,'JZ_BRAND SPLITS'!C25,'5 Year Supply Plan'!BO:BO)</f>
        <v>41151727.125</v>
      </c>
    </row>
    <row r="26" spans="1:125" x14ac:dyDescent="0.25">
      <c r="A26" s="40" t="s">
        <v>263</v>
      </c>
      <c r="B26" s="40" t="s">
        <v>257</v>
      </c>
      <c r="C26" s="40" t="s">
        <v>99</v>
      </c>
      <c r="D26" s="40" t="str">
        <f t="shared" si="0"/>
        <v>C04ASUPERTORQUE</v>
      </c>
      <c r="E26" s="41">
        <v>1.6776431380995027E-3</v>
      </c>
      <c r="F26" s="35">
        <f>SUMIF('5 Year Supply Plan'!A:A,'JZ_BRAND SPLITS'!C26,'5 Year Supply Plan'!H:H)</f>
        <v>40000.000976000003</v>
      </c>
      <c r="G26" s="35">
        <f t="shared" si="1"/>
        <v>67.105727161359809</v>
      </c>
      <c r="H26" s="35">
        <f>SUMIF('5 Year Supply Plan'!A:A,'JZ_BRAND SPLITS'!C26,'5 Year Supply Plan'!I:I)</f>
        <v>48480</v>
      </c>
      <c r="I26" s="35">
        <f t="shared" si="2"/>
        <v>81.332139335063886</v>
      </c>
      <c r="J26" s="35">
        <f>SUMIF('5 Year Supply Plan'!A:A,'JZ_BRAND SPLITS'!C26,'5 Year Supply Plan'!J:J)</f>
        <v>40400</v>
      </c>
      <c r="K26" s="35">
        <f t="shared" si="3"/>
        <v>67.776782779219914</v>
      </c>
      <c r="L26" s="35">
        <f>SUMIF('5 Year Supply Plan'!A:A,'JZ_BRAND SPLITS'!C26,'5 Year Supply Plan'!K:K)</f>
        <v>43923</v>
      </c>
      <c r="M26" s="35">
        <f t="shared" si="4"/>
        <v>73.687119554744456</v>
      </c>
      <c r="N26" s="35">
        <f>SUMIF('5 Year Supply Plan'!A:A,'JZ_BRAND SPLITS'!C26,'5 Year Supply Plan'!L:L)</f>
        <v>29824</v>
      </c>
      <c r="O26" s="35">
        <f t="shared" si="5"/>
        <v>50.03402895067957</v>
      </c>
      <c r="P26" s="35">
        <f>SUMIF('5 Year Supply Plan'!A:A,'JZ_BRAND SPLITS'!C26,'5 Year Supply Plan'!M:M)</f>
        <v>45200</v>
      </c>
      <c r="Q26" s="35">
        <f t="shared" si="6"/>
        <v>75.829469842097524</v>
      </c>
      <c r="R26" s="35">
        <f>SUMIF('5 Year Supply Plan'!A:A,'JZ_BRAND SPLITS'!C26,'5 Year Supply Plan'!N:N)</f>
        <v>40610</v>
      </c>
      <c r="S26" s="35">
        <f t="shared" si="7"/>
        <v>68.129087838220798</v>
      </c>
      <c r="T26" s="35">
        <f>SUMIF('5 Year Supply Plan'!A:A,'JZ_BRAND SPLITS'!C26,'5 Year Supply Plan'!O:O)</f>
        <v>43590</v>
      </c>
      <c r="U26" s="35">
        <f t="shared" si="8"/>
        <v>73.128464389757326</v>
      </c>
      <c r="V26" s="35">
        <f>SUMIF('5 Year Supply Plan'!A:A,'JZ_BRAND SPLITS'!C26,'5 Year Supply Plan'!P:P)</f>
        <v>49005</v>
      </c>
      <c r="W26" s="35">
        <f t="shared" si="9"/>
        <v>82.212901982566123</v>
      </c>
      <c r="X26" s="35">
        <f>SUMIF('5 Year Supply Plan'!A:A,'JZ_BRAND SPLITS'!C26,'5 Year Supply Plan'!Q:Q)</f>
        <v>42891</v>
      </c>
      <c r="Y26" s="35">
        <f t="shared" si="10"/>
        <v>71.955791836225771</v>
      </c>
      <c r="Z26" s="35">
        <f>SUMIF('5 Year Supply Plan'!A:A,'JZ_BRAND SPLITS'!C26,'5 Year Supply Plan'!R:R)</f>
        <v>33429</v>
      </c>
      <c r="AA26" s="35">
        <f t="shared" si="11"/>
        <v>56.081932463528275</v>
      </c>
      <c r="AB26" s="35">
        <f>SUMIF('5 Year Supply Plan'!A:A,'JZ_BRAND SPLITS'!C26,'5 Year Supply Plan'!S:S)</f>
        <v>44901</v>
      </c>
      <c r="AC26" s="35">
        <f t="shared" si="12"/>
        <v>75.327854543805771</v>
      </c>
      <c r="AD26" s="35">
        <f>SUMIF('5 Year Supply Plan'!A:A,'JZ_BRAND SPLITS'!C26,'5 Year Supply Plan'!T:T)</f>
        <v>43437</v>
      </c>
      <c r="AE26" s="35">
        <f t="shared" si="13"/>
        <v>72.871784989628097</v>
      </c>
      <c r="AF26" s="35">
        <f>SUMIF('5 Year Supply Plan'!A:A,'JZ_BRAND SPLITS'!C26,'5 Year Supply Plan'!U:U)</f>
        <v>42081</v>
      </c>
      <c r="AG26" s="35">
        <f t="shared" si="14"/>
        <v>70.596900894365177</v>
      </c>
      <c r="AH26" s="35">
        <f>SUMIF('5 Year Supply Plan'!A:A,'JZ_BRAND SPLITS'!C26,'5 Year Supply Plan'!V:V)</f>
        <v>47014</v>
      </c>
      <c r="AI26" s="35">
        <f t="shared" si="15"/>
        <v>78.872714494610022</v>
      </c>
      <c r="AJ26" s="35">
        <f>SUMIF('5 Year Supply Plan'!A:A,'JZ_BRAND SPLITS'!C26,'5 Year Supply Plan'!W:W)</f>
        <v>45695</v>
      </c>
      <c r="AK26" s="35">
        <f t="shared" si="16"/>
        <v>76.659903195456778</v>
      </c>
      <c r="AL26" s="35">
        <f>SUMIF('5 Year Supply Plan'!A:A,'JZ_BRAND SPLITS'!C26,'5 Year Supply Plan'!X:X)</f>
        <v>51602</v>
      </c>
      <c r="AM26" s="35">
        <f t="shared" si="17"/>
        <v>86.569741212210531</v>
      </c>
      <c r="AN26" s="35">
        <f>SUMIF('5 Year Supply Plan'!A:A,'JZ_BRAND SPLITS'!C26,'5 Year Supply Plan'!Y:Y)</f>
        <v>50623</v>
      </c>
      <c r="AO26" s="35">
        <f t="shared" si="18"/>
        <v>84.927328580011121</v>
      </c>
      <c r="AP26" s="35">
        <f>SUMIF('5 Year Supply Plan'!A:A,'JZ_BRAND SPLITS'!C26,'5 Year Supply Plan'!Z:Z)</f>
        <v>45183</v>
      </c>
      <c r="AQ26" s="35">
        <f t="shared" si="19"/>
        <v>75.800949908749828</v>
      </c>
      <c r="AR26" s="35">
        <f>SUMIF('5 Year Supply Plan'!A:A,'JZ_BRAND SPLITS'!C26,'5 Year Supply Plan'!AA:AA)</f>
        <v>46193</v>
      </c>
      <c r="AS26" s="35">
        <f t="shared" si="20"/>
        <v>77.49536947823033</v>
      </c>
      <c r="AT26" s="35">
        <f>SUMIF('5 Year Supply Plan'!A:A,'JZ_BRAND SPLITS'!C26,'5 Year Supply Plan'!AB:AB)</f>
        <v>53659</v>
      </c>
      <c r="AU26" s="35">
        <f t="shared" si="21"/>
        <v>90.020653147281209</v>
      </c>
      <c r="AV26" s="35">
        <f>SUMIF('5 Year Supply Plan'!A:A,'JZ_BRAND SPLITS'!C26,'5 Year Supply Plan'!AC:AC)</f>
        <v>46879</v>
      </c>
      <c r="AW26" s="35">
        <f t="shared" si="22"/>
        <v>78.646232670966583</v>
      </c>
      <c r="AX26" s="35">
        <f>SUMIF('5 Year Supply Plan'!A:A,'JZ_BRAND SPLITS'!C26,'5 Year Supply Plan'!AD:AD)</f>
        <v>36752</v>
      </c>
      <c r="AY26" s="35">
        <f t="shared" si="23"/>
        <v>61.656740611432923</v>
      </c>
      <c r="AZ26" s="35">
        <f>SUMIF('5 Year Supply Plan'!A:A,'JZ_BRAND SPLITS'!C26,'5 Year Supply Plan'!AE:AE)</f>
        <v>49318</v>
      </c>
      <c r="BA26" s="35">
        <f t="shared" si="24"/>
        <v>82.738004284791273</v>
      </c>
      <c r="BB26" s="35">
        <f>SUMIF('5 Year Supply Plan'!A:A,'JZ_BRAND SPLITS'!C26,'5 Year Supply Plan'!AF:AF)</f>
        <v>47672</v>
      </c>
      <c r="BC26" s="35">
        <f t="shared" si="25"/>
        <v>79.976603679479496</v>
      </c>
      <c r="BD26" s="35">
        <f>SUMIF('5 Year Supply Plan'!A:A,'JZ_BRAND SPLITS'!C26,'5 Year Supply Plan'!AG:AG)</f>
        <v>46139</v>
      </c>
      <c r="BE26" s="35">
        <f t="shared" si="26"/>
        <v>77.40477674877296</v>
      </c>
      <c r="BF26" s="35">
        <f>SUMIF('5 Year Supply Plan'!A:A,'JZ_BRAND SPLITS'!C26,'5 Year Supply Plan'!AH:AH)</f>
        <v>50972</v>
      </c>
      <c r="BG26" s="35">
        <f t="shared" si="27"/>
        <v>85.512826035207851</v>
      </c>
      <c r="BH26" s="35">
        <f>SUMIF('5 Year Supply Plan'!A:A,'JZ_BRAND SPLITS'!C26,'5 Year Supply Plan'!AI:AI)</f>
        <v>49658</v>
      </c>
      <c r="BI26" s="35">
        <f t="shared" si="28"/>
        <v>83.308402951745109</v>
      </c>
      <c r="BJ26" s="35">
        <f>SUMIF('5 Year Supply Plan'!A:A,'JZ_BRAND SPLITS'!C26,'5 Year Supply Plan'!AJ:AJ)</f>
        <v>56104</v>
      </c>
      <c r="BK26" s="35">
        <f t="shared" si="29"/>
        <v>94.122490619934496</v>
      </c>
      <c r="BL26" s="35">
        <f>SUMIF('5 Year Supply Plan'!A:A,'JZ_BRAND SPLITS'!C26,'5 Year Supply Plan'!AK:AK)</f>
        <v>54915</v>
      </c>
      <c r="BM26" s="35">
        <f t="shared" si="30"/>
        <v>92.127772928734188</v>
      </c>
      <c r="BN26" s="35">
        <f>SUMIF('5 Year Supply Plan'!A:A,'JZ_BRAND SPLITS'!C26,'5 Year Supply Plan'!AL:AL)</f>
        <v>48840</v>
      </c>
      <c r="BO26" s="35">
        <f t="shared" si="31"/>
        <v>81.936090864779715</v>
      </c>
      <c r="BP26" s="35">
        <f>SUMIF('5 Year Supply Plan'!A:A,'JZ_BRAND SPLITS'!C26,'5 Year Supply Plan'!AM:AM)</f>
        <v>50041</v>
      </c>
      <c r="BQ26" s="35">
        <f t="shared" si="32"/>
        <v>83.950940273637215</v>
      </c>
      <c r="BR26" s="35">
        <f>SUMIF('5 Year Supply Plan'!A:A,'JZ_BRAND SPLITS'!C26,'5 Year Supply Plan'!AN:AN)</f>
        <v>58115</v>
      </c>
      <c r="BS26" s="35">
        <f t="shared" si="33"/>
        <v>97.496230970652604</v>
      </c>
      <c r="BT26" s="35">
        <f>SUMIF('5 Year Supply Plan'!A:A,'JZ_BRAND SPLITS'!C26,'5 Year Supply Plan'!AO:AO)</f>
        <v>49155</v>
      </c>
      <c r="BU26" s="35">
        <f t="shared" si="34"/>
        <v>82.464548453281054</v>
      </c>
      <c r="BV26" s="35">
        <f>SUMIF('5 Year Supply Plan'!A:A,'JZ_BRAND SPLITS'!C26,'5 Year Supply Plan'!AP:AP)</f>
        <v>38565</v>
      </c>
      <c r="BW26" s="35">
        <f t="shared" si="35"/>
        <v>64.698307620807327</v>
      </c>
      <c r="BX26" s="35">
        <f>SUMIF('5 Year Supply Plan'!A:A,'JZ_BRAND SPLITS'!C26,'5 Year Supply Plan'!AQ:AQ)</f>
        <v>51745</v>
      </c>
      <c r="BY26" s="35">
        <f t="shared" si="36"/>
        <v>86.80964418095877</v>
      </c>
      <c r="BZ26" s="35">
        <f>SUMIF('5 Year Supply Plan'!A:A,'JZ_BRAND SPLITS'!C26,'5 Year Supply Plan'!AR:AR)</f>
        <v>50006</v>
      </c>
      <c r="CA26" s="35">
        <f t="shared" si="37"/>
        <v>83.89222276380373</v>
      </c>
      <c r="CB26" s="35">
        <f>SUMIF('5 Year Supply Plan'!A:A,'JZ_BRAND SPLITS'!C26,'5 Year Supply Plan'!AS:AS)</f>
        <v>48390</v>
      </c>
      <c r="CC26" s="35">
        <f t="shared" si="38"/>
        <v>81.181151452634936</v>
      </c>
      <c r="CD26" s="35">
        <f>SUMIF('5 Year Supply Plan'!A:A,'JZ_BRAND SPLITS'!C26,'5 Year Supply Plan'!AT:AT)</f>
        <v>53358</v>
      </c>
      <c r="CE26" s="35">
        <f t="shared" si="39"/>
        <v>89.515682562713266</v>
      </c>
      <c r="CF26" s="35">
        <f>SUMIF('5 Year Supply Plan'!A:A,'JZ_BRAND SPLITS'!C26,'5 Year Supply Plan'!AU:AU)</f>
        <v>52005</v>
      </c>
      <c r="CG26" s="35">
        <f t="shared" si="40"/>
        <v>87.245831396864631</v>
      </c>
      <c r="CH26" s="35">
        <f>SUMIF('5 Year Supply Plan'!A:A,'JZ_BRAND SPLITS'!C26,'5 Year Supply Plan'!AV:AV)</f>
        <v>58755</v>
      </c>
      <c r="CI26" s="35">
        <f t="shared" si="41"/>
        <v>98.569922579036273</v>
      </c>
      <c r="CJ26" s="35">
        <f>SUMIF('5 Year Supply Plan'!A:A,'JZ_BRAND SPLITS'!C26,'5 Year Supply Plan'!AW:AW)</f>
        <v>57487</v>
      </c>
      <c r="CK26" s="35">
        <f t="shared" si="42"/>
        <v>96.442671079926114</v>
      </c>
      <c r="CL26" s="35">
        <f>SUMIF('5 Year Supply Plan'!A:A,'JZ_BRAND SPLITS'!C26,'5 Year Supply Plan'!AX:AX)</f>
        <v>51092</v>
      </c>
      <c r="CM26" s="35">
        <f t="shared" si="43"/>
        <v>85.714143211779785</v>
      </c>
      <c r="CN26" s="35">
        <f>SUMIF('5 Year Supply Plan'!A:A,'JZ_BRAND SPLITS'!C26,'5 Year Supply Plan'!AY:AY)</f>
        <v>52393</v>
      </c>
      <c r="CO26" s="35">
        <f t="shared" si="44"/>
        <v>87.896756934447239</v>
      </c>
      <c r="CP26" s="35">
        <f>SUMIF('5 Year Supply Plan'!A:A,'JZ_BRAND SPLITS'!C26,'5 Year Supply Plan'!AZ:AZ)</f>
        <v>61694</v>
      </c>
      <c r="CQ26" s="35">
        <f t="shared" si="45"/>
        <v>103.50051576191072</v>
      </c>
      <c r="CR26" s="35">
        <f>SUMIF('5 Year Supply Plan'!A:A,'JZ_BRAND SPLITS'!C26,'5 Year Supply Plan'!BA:BA)</f>
        <v>52098</v>
      </c>
      <c r="CS26" s="35">
        <f t="shared" si="46"/>
        <v>87.401852208707894</v>
      </c>
      <c r="CT26" s="35">
        <f>SUMIF('5 Year Supply Plan'!A:A,'JZ_BRAND SPLITS'!C26,'5 Year Supply Plan'!BB:BB)</f>
        <v>41059</v>
      </c>
      <c r="CU26" s="35">
        <f t="shared" si="47"/>
        <v>68.882349607227482</v>
      </c>
      <c r="CV26" s="35">
        <f>SUMIF('5 Year Supply Plan'!A:A,'JZ_BRAND SPLITS'!C26,'5 Year Supply Plan'!BC:BC)</f>
        <v>55077</v>
      </c>
      <c r="CW26" s="35">
        <f t="shared" si="48"/>
        <v>92.399551117106313</v>
      </c>
      <c r="CX26" s="35">
        <f>SUMIF('5 Year Supply Plan'!A:A,'JZ_BRAND SPLITS'!C26,'5 Year Supply Plan'!BD:BD)</f>
        <v>53243</v>
      </c>
      <c r="CY26" s="35">
        <f t="shared" si="49"/>
        <v>89.32275360183182</v>
      </c>
      <c r="CZ26" s="35">
        <f>SUMIF('5 Year Supply Plan'!A:A,'JZ_BRAND SPLITS'!C26,'5 Year Supply Plan'!BE:BE)</f>
        <v>51565</v>
      </c>
      <c r="DA26" s="35">
        <f t="shared" si="50"/>
        <v>86.507668416100856</v>
      </c>
      <c r="DB26" s="35">
        <f>SUMIF('5 Year Supply Plan'!A:A,'JZ_BRAND SPLITS'!C26,'5 Year Supply Plan'!BF:BF)</f>
        <v>56643</v>
      </c>
      <c r="DC26" s="35">
        <f t="shared" si="51"/>
        <v>95.02674027137013</v>
      </c>
      <c r="DD26" s="35">
        <f>SUMIF('5 Year Supply Plan'!A:A,'JZ_BRAND SPLITS'!C26,'5 Year Supply Plan'!BG:BG)</f>
        <v>55261</v>
      </c>
      <c r="DE26" s="35">
        <f t="shared" si="52"/>
        <v>92.70823745451662</v>
      </c>
      <c r="DF26" s="35">
        <f>SUMIF('5 Year Supply Plan'!A:A,'JZ_BRAND SPLITS'!C26,'5 Year Supply Plan'!BH:BH)</f>
        <v>62482</v>
      </c>
      <c r="DG26" s="35">
        <f t="shared" si="53"/>
        <v>104.82249855473313</v>
      </c>
      <c r="DH26" s="35">
        <f>SUMIF('5 Year Supply Plan'!A:A,'JZ_BRAND SPLITS'!C26,'5 Year Supply Plan'!BI:BI)</f>
        <v>61149</v>
      </c>
      <c r="DI26" s="35">
        <f t="shared" si="54"/>
        <v>102.58620025164649</v>
      </c>
      <c r="DJ26" s="35">
        <f>SUMIF('5 Year Supply Plan'!A:A,'JZ_BRAND SPLITS'!C26,'5 Year Supply Plan'!BJ:BJ)</f>
        <v>54221</v>
      </c>
      <c r="DK26" s="35">
        <f t="shared" si="55"/>
        <v>90.963488590893135</v>
      </c>
      <c r="DL26" s="35">
        <f>SUMIF('5 Year Supply Plan'!A:A,'JZ_BRAND SPLITS'!C26,'5 Year Supply Plan'!BK:BK)</f>
        <v>54952</v>
      </c>
      <c r="DM26" s="35">
        <f t="shared" si="56"/>
        <v>92.189845724843877</v>
      </c>
      <c r="DN26" s="42">
        <f>SUMIF('5 Year Supply Plan'!A:A,'JZ_BRAND SPLITS'!C26,'5 Year Supply Plan'!BL:BL)</f>
        <v>62681</v>
      </c>
      <c r="DO26" s="35">
        <f t="shared" si="57"/>
        <v>105.15634953921493</v>
      </c>
      <c r="DP26" s="35">
        <f>SUMIF('5 Year Supply Plan'!A:A,'JZ_BRAND SPLITS'!C26,'5 Year Supply Plan'!BM:BM)</f>
        <v>56189.5</v>
      </c>
      <c r="DQ26" s="35">
        <f t="shared" si="58"/>
        <v>94.265929108242005</v>
      </c>
      <c r="DR26" s="35">
        <f>SUMIF('5 Year Supply Plan'!A:A,'JZ_BRAND SPLITS'!C26,'5 Year Supply Plan'!BN:BN)</f>
        <v>56189.5</v>
      </c>
      <c r="DS26" s="35">
        <f t="shared" si="59"/>
        <v>94.265929108242005</v>
      </c>
      <c r="DT26" s="39">
        <f t="shared" si="60"/>
        <v>4899.7245507707867</v>
      </c>
      <c r="DU26" s="36">
        <f>SUMIF('5 Year Supply Plan'!A:A,'JZ_BRAND SPLITS'!C26,'5 Year Supply Plan'!BO:BO)</f>
        <v>2920600.000976</v>
      </c>
    </row>
    <row r="27" spans="1:125" x14ac:dyDescent="0.25">
      <c r="A27" s="40" t="s">
        <v>264</v>
      </c>
      <c r="B27" s="40" t="s">
        <v>257</v>
      </c>
      <c r="C27" s="40" t="s">
        <v>85</v>
      </c>
      <c r="D27" s="40" t="str">
        <f t="shared" si="0"/>
        <v>C04BMULTIPACK</v>
      </c>
      <c r="E27" s="41">
        <v>1</v>
      </c>
      <c r="F27" s="35">
        <f>SUMIF('5 Year Supply Plan'!A:A,'JZ_BRAND SPLITS'!C27,'5 Year Supply Plan'!H:H)</f>
        <v>13099.209961</v>
      </c>
      <c r="G27" s="35">
        <f t="shared" si="1"/>
        <v>13099.209961</v>
      </c>
      <c r="H27" s="35">
        <f>SUMIF('5 Year Supply Plan'!A:A,'JZ_BRAND SPLITS'!C27,'5 Year Supply Plan'!I:I)</f>
        <v>15268.167969</v>
      </c>
      <c r="I27" s="35">
        <f t="shared" si="2"/>
        <v>15268.167969</v>
      </c>
      <c r="J27" s="35">
        <f>SUMIF('5 Year Supply Plan'!A:A,'JZ_BRAND SPLITS'!C27,'5 Year Supply Plan'!J:J)</f>
        <v>12325.276367</v>
      </c>
      <c r="K27" s="35">
        <f t="shared" si="3"/>
        <v>12325.276367</v>
      </c>
      <c r="L27" s="35">
        <f>SUMIF('5 Year Supply Plan'!A:A,'JZ_BRAND SPLITS'!C27,'5 Year Supply Plan'!K:K)</f>
        <v>12321</v>
      </c>
      <c r="M27" s="35">
        <f t="shared" si="4"/>
        <v>12321</v>
      </c>
      <c r="N27" s="35">
        <f>SUMIF('5 Year Supply Plan'!A:A,'JZ_BRAND SPLITS'!C27,'5 Year Supply Plan'!L:L)</f>
        <v>12221</v>
      </c>
      <c r="O27" s="35">
        <f t="shared" si="5"/>
        <v>12221</v>
      </c>
      <c r="P27" s="35">
        <f>SUMIF('5 Year Supply Plan'!A:A,'JZ_BRAND SPLITS'!C27,'5 Year Supply Plan'!M:M)</f>
        <v>12114</v>
      </c>
      <c r="Q27" s="35">
        <f t="shared" si="6"/>
        <v>12114</v>
      </c>
      <c r="R27" s="35">
        <f>SUMIF('5 Year Supply Plan'!A:A,'JZ_BRAND SPLITS'!C27,'5 Year Supply Plan'!N:N)</f>
        <v>13025</v>
      </c>
      <c r="S27" s="35">
        <f t="shared" si="7"/>
        <v>13025</v>
      </c>
      <c r="T27" s="35">
        <f>SUMIF('5 Year Supply Plan'!A:A,'JZ_BRAND SPLITS'!C27,'5 Year Supply Plan'!O:O)</f>
        <v>13076</v>
      </c>
      <c r="U27" s="35">
        <f t="shared" si="8"/>
        <v>13076</v>
      </c>
      <c r="V27" s="35">
        <f>SUMIF('5 Year Supply Plan'!A:A,'JZ_BRAND SPLITS'!C27,'5 Year Supply Plan'!P:P)</f>
        <v>14895</v>
      </c>
      <c r="W27" s="35">
        <f t="shared" si="9"/>
        <v>14895</v>
      </c>
      <c r="X27" s="35">
        <f>SUMIF('5 Year Supply Plan'!A:A,'JZ_BRAND SPLITS'!C27,'5 Year Supply Plan'!Q:Q)</f>
        <v>15652</v>
      </c>
      <c r="Y27" s="35">
        <f t="shared" si="10"/>
        <v>15652</v>
      </c>
      <c r="Z27" s="35">
        <f>SUMIF('5 Year Supply Plan'!A:A,'JZ_BRAND SPLITS'!C27,'5 Year Supply Plan'!R:R)</f>
        <v>17841</v>
      </c>
      <c r="AA27" s="35">
        <f t="shared" si="11"/>
        <v>17841</v>
      </c>
      <c r="AB27" s="35">
        <f>SUMIF('5 Year Supply Plan'!A:A,'JZ_BRAND SPLITS'!C27,'5 Year Supply Plan'!S:S)</f>
        <v>20955</v>
      </c>
      <c r="AC27" s="35">
        <f t="shared" si="12"/>
        <v>20955</v>
      </c>
      <c r="AD27" s="35">
        <f>SUMIF('5 Year Supply Plan'!A:A,'JZ_BRAND SPLITS'!C27,'5 Year Supply Plan'!T:T)</f>
        <v>19958</v>
      </c>
      <c r="AE27" s="35">
        <f t="shared" si="13"/>
        <v>19958</v>
      </c>
      <c r="AF27" s="35">
        <f>SUMIF('5 Year Supply Plan'!A:A,'JZ_BRAND SPLITS'!C27,'5 Year Supply Plan'!U:U)</f>
        <v>17178</v>
      </c>
      <c r="AG27" s="35">
        <f t="shared" si="14"/>
        <v>17178</v>
      </c>
      <c r="AH27" s="35">
        <f>SUMIF('5 Year Supply Plan'!A:A,'JZ_BRAND SPLITS'!C27,'5 Year Supply Plan'!V:V)</f>
        <v>18393</v>
      </c>
      <c r="AI27" s="35">
        <f t="shared" si="15"/>
        <v>18393</v>
      </c>
      <c r="AJ27" s="35">
        <f>SUMIF('5 Year Supply Plan'!A:A,'JZ_BRAND SPLITS'!C27,'5 Year Supply Plan'!W:W)</f>
        <v>19974</v>
      </c>
      <c r="AK27" s="35">
        <f t="shared" si="16"/>
        <v>19974</v>
      </c>
      <c r="AL27" s="35">
        <f>SUMIF('5 Year Supply Plan'!A:A,'JZ_BRAND SPLITS'!C27,'5 Year Supply Plan'!X:X)</f>
        <v>24422</v>
      </c>
      <c r="AM27" s="35">
        <f t="shared" si="17"/>
        <v>24422</v>
      </c>
      <c r="AN27" s="35">
        <f>SUMIF('5 Year Supply Plan'!A:A,'JZ_BRAND SPLITS'!C27,'5 Year Supply Plan'!Y:Y)</f>
        <v>24013</v>
      </c>
      <c r="AO27" s="35">
        <f t="shared" si="18"/>
        <v>24013</v>
      </c>
      <c r="AP27" s="35">
        <f>SUMIF('5 Year Supply Plan'!A:A,'JZ_BRAND SPLITS'!C27,'5 Year Supply Plan'!Z:Z)</f>
        <v>21691</v>
      </c>
      <c r="AQ27" s="35">
        <f t="shared" si="19"/>
        <v>21691</v>
      </c>
      <c r="AR27" s="35">
        <f>SUMIF('5 Year Supply Plan'!A:A,'JZ_BRAND SPLITS'!C27,'5 Year Supply Plan'!AA:AA)</f>
        <v>20212</v>
      </c>
      <c r="AS27" s="35">
        <f t="shared" si="20"/>
        <v>20212</v>
      </c>
      <c r="AT27" s="35">
        <f>SUMIF('5 Year Supply Plan'!A:A,'JZ_BRAND SPLITS'!C27,'5 Year Supply Plan'!AB:AB)</f>
        <v>18981</v>
      </c>
      <c r="AU27" s="35">
        <f t="shared" si="21"/>
        <v>18981</v>
      </c>
      <c r="AV27" s="35">
        <f>SUMIF('5 Year Supply Plan'!A:A,'JZ_BRAND SPLITS'!C27,'5 Year Supply Plan'!AC:AC)</f>
        <v>19871</v>
      </c>
      <c r="AW27" s="35">
        <f t="shared" si="22"/>
        <v>19871</v>
      </c>
      <c r="AX27" s="35">
        <f>SUMIF('5 Year Supply Plan'!A:A,'JZ_BRAND SPLITS'!C27,'5 Year Supply Plan'!AD:AD)</f>
        <v>17980</v>
      </c>
      <c r="AY27" s="35">
        <f t="shared" si="23"/>
        <v>17980</v>
      </c>
      <c r="AZ27" s="35">
        <f>SUMIF('5 Year Supply Plan'!A:A,'JZ_BRAND SPLITS'!C27,'5 Year Supply Plan'!AE:AE)</f>
        <v>21165</v>
      </c>
      <c r="BA27" s="35">
        <f t="shared" si="24"/>
        <v>21165</v>
      </c>
      <c r="BB27" s="35">
        <f>SUMIF('5 Year Supply Plan'!A:A,'JZ_BRAND SPLITS'!C27,'5 Year Supply Plan'!AF:AF)</f>
        <v>20169</v>
      </c>
      <c r="BC27" s="35">
        <f t="shared" si="25"/>
        <v>20169</v>
      </c>
      <c r="BD27" s="35">
        <f>SUMIF('5 Year Supply Plan'!A:A,'JZ_BRAND SPLITS'!C27,'5 Year Supply Plan'!AG:AG)</f>
        <v>17387</v>
      </c>
      <c r="BE27" s="35">
        <f t="shared" si="26"/>
        <v>17387</v>
      </c>
      <c r="BF27" s="35">
        <f>SUMIF('5 Year Supply Plan'!A:A,'JZ_BRAND SPLITS'!C27,'5 Year Supply Plan'!AH:AH)</f>
        <v>18583</v>
      </c>
      <c r="BG27" s="35">
        <f t="shared" si="27"/>
        <v>18583</v>
      </c>
      <c r="BH27" s="35">
        <f>SUMIF('5 Year Supply Plan'!A:A,'JZ_BRAND SPLITS'!C27,'5 Year Supply Plan'!AI:AI)</f>
        <v>20147</v>
      </c>
      <c r="BI27" s="35">
        <f t="shared" si="28"/>
        <v>20147</v>
      </c>
      <c r="BJ27" s="35">
        <f>SUMIF('5 Year Supply Plan'!A:A,'JZ_BRAND SPLITS'!C27,'5 Year Supply Plan'!AJ:AJ)</f>
        <v>24588</v>
      </c>
      <c r="BK27" s="35">
        <f t="shared" si="29"/>
        <v>24588</v>
      </c>
      <c r="BL27" s="35">
        <f>SUMIF('5 Year Supply Plan'!A:A,'JZ_BRAND SPLITS'!C27,'5 Year Supply Plan'!AK:AK)</f>
        <v>24153</v>
      </c>
      <c r="BM27" s="35">
        <f t="shared" si="30"/>
        <v>24153</v>
      </c>
      <c r="BN27" s="35">
        <f>SUMIF('5 Year Supply Plan'!A:A,'JZ_BRAND SPLITS'!C27,'5 Year Supply Plan'!AL:AL)</f>
        <v>21817</v>
      </c>
      <c r="BO27" s="35">
        <f t="shared" si="31"/>
        <v>21817</v>
      </c>
      <c r="BP27" s="35">
        <f>SUMIF('5 Year Supply Plan'!A:A,'JZ_BRAND SPLITS'!C27,'5 Year Supply Plan'!AM:AM)</f>
        <v>20453</v>
      </c>
      <c r="BQ27" s="35">
        <f t="shared" si="32"/>
        <v>20453</v>
      </c>
      <c r="BR27" s="35">
        <f>SUMIF('5 Year Supply Plan'!A:A,'JZ_BRAND SPLITS'!C27,'5 Year Supply Plan'!AN:AN)</f>
        <v>19401</v>
      </c>
      <c r="BS27" s="35">
        <f t="shared" si="33"/>
        <v>19401</v>
      </c>
      <c r="BT27" s="35">
        <f>SUMIF('5 Year Supply Plan'!A:A,'JZ_BRAND SPLITS'!C27,'5 Year Supply Plan'!AO:AO)</f>
        <v>20283</v>
      </c>
      <c r="BU27" s="35">
        <f t="shared" si="34"/>
        <v>20283</v>
      </c>
      <c r="BV27" s="35">
        <f>SUMIF('5 Year Supply Plan'!A:A,'JZ_BRAND SPLITS'!C27,'5 Year Supply Plan'!AP:AP)</f>
        <v>18336</v>
      </c>
      <c r="BW27" s="35">
        <f t="shared" si="35"/>
        <v>18336</v>
      </c>
      <c r="BX27" s="35">
        <f>SUMIF('5 Year Supply Plan'!A:A,'JZ_BRAND SPLITS'!C27,'5 Year Supply Plan'!AQ:AQ)</f>
        <v>21616</v>
      </c>
      <c r="BY27" s="35">
        <f t="shared" si="36"/>
        <v>21616</v>
      </c>
      <c r="BZ27" s="35">
        <f>SUMIF('5 Year Supply Plan'!A:A,'JZ_BRAND SPLITS'!C27,'5 Year Supply Plan'!AR:AR)</f>
        <v>20599</v>
      </c>
      <c r="CA27" s="35">
        <f t="shared" si="37"/>
        <v>20599</v>
      </c>
      <c r="CB27" s="35">
        <f>SUMIF('5 Year Supply Plan'!A:A,'JZ_BRAND SPLITS'!C27,'5 Year Supply Plan'!AS:AS)</f>
        <v>17778</v>
      </c>
      <c r="CC27" s="35">
        <f t="shared" si="38"/>
        <v>17778</v>
      </c>
      <c r="CD27" s="35">
        <f>SUMIF('5 Year Supply Plan'!A:A,'JZ_BRAND SPLITS'!C27,'5 Year Supply Plan'!AT:AT)</f>
        <v>18980</v>
      </c>
      <c r="CE27" s="35">
        <f t="shared" si="39"/>
        <v>18980</v>
      </c>
      <c r="CF27" s="35">
        <f>SUMIF('5 Year Supply Plan'!A:A,'JZ_BRAND SPLITS'!C27,'5 Year Supply Plan'!AU:AU)</f>
        <v>20556</v>
      </c>
      <c r="CG27" s="35">
        <f t="shared" si="40"/>
        <v>20556</v>
      </c>
      <c r="CH27" s="35">
        <f>SUMIF('5 Year Supply Plan'!A:A,'JZ_BRAND SPLITS'!C27,'5 Year Supply Plan'!AV:AV)</f>
        <v>25064</v>
      </c>
      <c r="CI27" s="35">
        <f t="shared" si="41"/>
        <v>25064</v>
      </c>
      <c r="CJ27" s="35">
        <f>SUMIF('5 Year Supply Plan'!A:A,'JZ_BRAND SPLITS'!C27,'5 Year Supply Plan'!AW:AW)</f>
        <v>24609</v>
      </c>
      <c r="CK27" s="35">
        <f t="shared" si="42"/>
        <v>24609</v>
      </c>
      <c r="CL27" s="35">
        <f>SUMIF('5 Year Supply Plan'!A:A,'JZ_BRAND SPLITS'!C27,'5 Year Supply Plan'!AX:AX)</f>
        <v>22214</v>
      </c>
      <c r="CM27" s="35">
        <f t="shared" si="43"/>
        <v>22214</v>
      </c>
      <c r="CN27" s="35">
        <f>SUMIF('5 Year Supply Plan'!A:A,'JZ_BRAND SPLITS'!C27,'5 Year Supply Plan'!AY:AY)</f>
        <v>20822</v>
      </c>
      <c r="CO27" s="35">
        <f t="shared" si="44"/>
        <v>20822</v>
      </c>
      <c r="CP27" s="35">
        <f>SUMIF('5 Year Supply Plan'!A:A,'JZ_BRAND SPLITS'!C27,'5 Year Supply Plan'!AZ:AZ)</f>
        <v>19756</v>
      </c>
      <c r="CQ27" s="35">
        <f t="shared" si="45"/>
        <v>19756</v>
      </c>
      <c r="CR27" s="35">
        <f>SUMIF('5 Year Supply Plan'!A:A,'JZ_BRAND SPLITS'!C27,'5 Year Supply Plan'!BA:BA)</f>
        <v>20644</v>
      </c>
      <c r="CS27" s="35">
        <f t="shared" si="46"/>
        <v>20644</v>
      </c>
      <c r="CT27" s="35">
        <f>SUMIF('5 Year Supply Plan'!A:A,'JZ_BRAND SPLITS'!C27,'5 Year Supply Plan'!BB:BB)</f>
        <v>18635</v>
      </c>
      <c r="CU27" s="35">
        <f t="shared" si="47"/>
        <v>18635</v>
      </c>
      <c r="CV27" s="35">
        <f>SUMIF('5 Year Supply Plan'!A:A,'JZ_BRAND SPLITS'!C27,'5 Year Supply Plan'!BC:BC)</f>
        <v>22012</v>
      </c>
      <c r="CW27" s="35">
        <f t="shared" si="48"/>
        <v>22012</v>
      </c>
      <c r="CX27" s="35">
        <f>SUMIF('5 Year Supply Plan'!A:A,'JZ_BRAND SPLITS'!C27,'5 Year Supply Plan'!BD:BD)</f>
        <v>20984</v>
      </c>
      <c r="CY27" s="35">
        <f t="shared" si="49"/>
        <v>20984</v>
      </c>
      <c r="CZ27" s="35">
        <f>SUMIF('5 Year Supply Plan'!A:A,'JZ_BRAND SPLITS'!C27,'5 Year Supply Plan'!BE:BE)</f>
        <v>18138</v>
      </c>
      <c r="DA27" s="35">
        <f t="shared" si="50"/>
        <v>18138</v>
      </c>
      <c r="DB27" s="35">
        <f>SUMIF('5 Year Supply Plan'!A:A,'JZ_BRAND SPLITS'!C27,'5 Year Supply Plan'!BF:BF)</f>
        <v>19331</v>
      </c>
      <c r="DC27" s="35">
        <f t="shared" si="51"/>
        <v>19331</v>
      </c>
      <c r="DD27" s="35">
        <f>SUMIF('5 Year Supply Plan'!A:A,'JZ_BRAND SPLITS'!C27,'5 Year Supply Plan'!BG:BG)</f>
        <v>20905</v>
      </c>
      <c r="DE27" s="35">
        <f t="shared" si="52"/>
        <v>20905</v>
      </c>
      <c r="DF27" s="35">
        <f>SUMIF('5 Year Supply Plan'!A:A,'JZ_BRAND SPLITS'!C27,'5 Year Supply Plan'!BH:BH)</f>
        <v>25449</v>
      </c>
      <c r="DG27" s="35">
        <f t="shared" si="53"/>
        <v>25449</v>
      </c>
      <c r="DH27" s="35">
        <f>SUMIF('5 Year Supply Plan'!A:A,'JZ_BRAND SPLITS'!C27,'5 Year Supply Plan'!BI:BI)</f>
        <v>24979</v>
      </c>
      <c r="DI27" s="35">
        <f t="shared" si="54"/>
        <v>24979</v>
      </c>
      <c r="DJ27" s="35">
        <f>SUMIF('5 Year Supply Plan'!A:A,'JZ_BRAND SPLITS'!C27,'5 Year Supply Plan'!BJ:BJ)</f>
        <v>22070</v>
      </c>
      <c r="DK27" s="35">
        <f t="shared" si="55"/>
        <v>22070</v>
      </c>
      <c r="DL27" s="35">
        <f>SUMIF('5 Year Supply Plan'!A:A,'JZ_BRAND SPLITS'!C27,'5 Year Supply Plan'!BK:BK)</f>
        <v>18515</v>
      </c>
      <c r="DM27" s="35">
        <f t="shared" si="56"/>
        <v>18515</v>
      </c>
      <c r="DN27" s="42">
        <f>SUMIF('5 Year Supply Plan'!A:A,'JZ_BRAND SPLITS'!C27,'5 Year Supply Plan'!BL:BL)</f>
        <v>14543</v>
      </c>
      <c r="DO27" s="35">
        <f t="shared" si="57"/>
        <v>14543</v>
      </c>
      <c r="DP27" s="35">
        <f>SUMIF('5 Year Supply Plan'!A:A,'JZ_BRAND SPLITS'!C27,'5 Year Supply Plan'!BM:BM)</f>
        <v>21296.375</v>
      </c>
      <c r="DQ27" s="35">
        <f t="shared" si="58"/>
        <v>21296.375</v>
      </c>
      <c r="DR27" s="35">
        <f>SUMIF('5 Year Supply Plan'!A:A,'JZ_BRAND SPLITS'!C27,'5 Year Supply Plan'!BN:BN)</f>
        <v>21296.375</v>
      </c>
      <c r="DS27" s="35">
        <f t="shared" si="59"/>
        <v>21296.375</v>
      </c>
      <c r="DT27" s="39">
        <f t="shared" si="60"/>
        <v>1142739.404297</v>
      </c>
      <c r="DU27" s="36">
        <f>SUMIF('5 Year Supply Plan'!A:A,'JZ_BRAND SPLITS'!C27,'5 Year Supply Plan'!BO:BO)</f>
        <v>1142739.404297</v>
      </c>
    </row>
    <row r="28" spans="1:125" x14ac:dyDescent="0.25">
      <c r="A28" s="40" t="s">
        <v>264</v>
      </c>
      <c r="B28" s="40" t="s">
        <v>257</v>
      </c>
      <c r="C28" s="40" t="s">
        <v>74</v>
      </c>
      <c r="D28" s="40" t="str">
        <f t="shared" si="0"/>
        <v>C04BCORPACK</v>
      </c>
      <c r="E28" s="41">
        <v>1</v>
      </c>
      <c r="F28" s="35">
        <f>SUMIF('5 Year Supply Plan'!A:A,'JZ_BRAND SPLITS'!C28,'5 Year Supply Plan'!H:H)</f>
        <v>876.79425000000003</v>
      </c>
      <c r="G28" s="35">
        <f t="shared" si="1"/>
        <v>876.79425000000003</v>
      </c>
      <c r="H28" s="35">
        <f>SUMIF('5 Year Supply Plan'!A:A,'JZ_BRAND SPLITS'!C28,'5 Year Supply Plan'!I:I)</f>
        <v>1271.276001</v>
      </c>
      <c r="I28" s="35">
        <f t="shared" si="2"/>
        <v>1271.276001</v>
      </c>
      <c r="J28" s="35">
        <f>SUMIF('5 Year Supply Plan'!A:A,'JZ_BRAND SPLITS'!C28,'5 Year Supply Plan'!J:J)</f>
        <v>1112.9498289999999</v>
      </c>
      <c r="K28" s="35">
        <f t="shared" si="3"/>
        <v>1112.9498289999999</v>
      </c>
      <c r="L28" s="35">
        <f>SUMIF('5 Year Supply Plan'!A:A,'JZ_BRAND SPLITS'!C28,'5 Year Supply Plan'!K:K)</f>
        <v>4000</v>
      </c>
      <c r="M28" s="35">
        <f t="shared" si="4"/>
        <v>4000</v>
      </c>
      <c r="N28" s="35">
        <f>SUMIF('5 Year Supply Plan'!A:A,'JZ_BRAND SPLITS'!C28,'5 Year Supply Plan'!L:L)</f>
        <v>4176</v>
      </c>
      <c r="O28" s="35">
        <f t="shared" si="5"/>
        <v>4176</v>
      </c>
      <c r="P28" s="35">
        <f>SUMIF('5 Year Supply Plan'!A:A,'JZ_BRAND SPLITS'!C28,'5 Year Supply Plan'!M:M)</f>
        <v>3757</v>
      </c>
      <c r="Q28" s="35">
        <f t="shared" si="6"/>
        <v>3757</v>
      </c>
      <c r="R28" s="35">
        <f>SUMIF('5 Year Supply Plan'!A:A,'JZ_BRAND SPLITS'!C28,'5 Year Supply Plan'!N:N)</f>
        <v>4000</v>
      </c>
      <c r="S28" s="35">
        <f t="shared" si="7"/>
        <v>4000</v>
      </c>
      <c r="T28" s="35">
        <f>SUMIF('5 Year Supply Plan'!A:A,'JZ_BRAND SPLITS'!C28,'5 Year Supply Plan'!O:O)</f>
        <v>4000</v>
      </c>
      <c r="U28" s="35">
        <f t="shared" si="8"/>
        <v>4000</v>
      </c>
      <c r="V28" s="35">
        <f>SUMIF('5 Year Supply Plan'!A:A,'JZ_BRAND SPLITS'!C28,'5 Year Supply Plan'!P:P)</f>
        <v>4000</v>
      </c>
      <c r="W28" s="35">
        <f t="shared" si="9"/>
        <v>4000</v>
      </c>
      <c r="X28" s="35">
        <f>SUMIF('5 Year Supply Plan'!A:A,'JZ_BRAND SPLITS'!C28,'5 Year Supply Plan'!Q:Q)</f>
        <v>1500</v>
      </c>
      <c r="Y28" s="35">
        <f t="shared" si="10"/>
        <v>1500</v>
      </c>
      <c r="Z28" s="35">
        <f>SUMIF('5 Year Supply Plan'!A:A,'JZ_BRAND SPLITS'!C28,'5 Year Supply Plan'!R:R)</f>
        <v>254</v>
      </c>
      <c r="AA28" s="35">
        <f t="shared" si="11"/>
        <v>254</v>
      </c>
      <c r="AB28" s="35">
        <f>SUMIF('5 Year Supply Plan'!A:A,'JZ_BRAND SPLITS'!C28,'5 Year Supply Plan'!S:S)</f>
        <v>103</v>
      </c>
      <c r="AC28" s="35">
        <f t="shared" si="12"/>
        <v>103</v>
      </c>
      <c r="AD28" s="35">
        <f>SUMIF('5 Year Supply Plan'!A:A,'JZ_BRAND SPLITS'!C28,'5 Year Supply Plan'!T:T)</f>
        <v>99</v>
      </c>
      <c r="AE28" s="35">
        <f t="shared" si="13"/>
        <v>99</v>
      </c>
      <c r="AF28" s="35">
        <f>SUMIF('5 Year Supply Plan'!A:A,'JZ_BRAND SPLITS'!C28,'5 Year Supply Plan'!U:U)</f>
        <v>91</v>
      </c>
      <c r="AG28" s="35">
        <f t="shared" si="14"/>
        <v>91</v>
      </c>
      <c r="AH28" s="35">
        <f>SUMIF('5 Year Supply Plan'!A:A,'JZ_BRAND SPLITS'!C28,'5 Year Supply Plan'!V:V)</f>
        <v>92</v>
      </c>
      <c r="AI28" s="35">
        <f t="shared" si="15"/>
        <v>92</v>
      </c>
      <c r="AJ28" s="35">
        <f>SUMIF('5 Year Supply Plan'!A:A,'JZ_BRAND SPLITS'!C28,'5 Year Supply Plan'!W:W)</f>
        <v>93</v>
      </c>
      <c r="AK28" s="35">
        <f t="shared" si="16"/>
        <v>93</v>
      </c>
      <c r="AL28" s="35">
        <f>SUMIF('5 Year Supply Plan'!A:A,'JZ_BRAND SPLITS'!C28,'5 Year Supply Plan'!X:X)</f>
        <v>102</v>
      </c>
      <c r="AM28" s="35">
        <f t="shared" si="17"/>
        <v>102</v>
      </c>
      <c r="AN28" s="35">
        <f>SUMIF('5 Year Supply Plan'!A:A,'JZ_BRAND SPLITS'!C28,'5 Year Supply Plan'!Y:Y)</f>
        <v>94</v>
      </c>
      <c r="AO28" s="35">
        <f t="shared" si="18"/>
        <v>94</v>
      </c>
      <c r="AP28" s="35">
        <f>SUMIF('5 Year Supply Plan'!A:A,'JZ_BRAND SPLITS'!C28,'5 Year Supply Plan'!Z:Z)</f>
        <v>83</v>
      </c>
      <c r="AQ28" s="35">
        <f t="shared" si="19"/>
        <v>83</v>
      </c>
      <c r="AR28" s="35">
        <f>SUMIF('5 Year Supply Plan'!A:A,'JZ_BRAND SPLITS'!C28,'5 Year Supply Plan'!AA:AA)</f>
        <v>89</v>
      </c>
      <c r="AS28" s="35">
        <f t="shared" si="20"/>
        <v>89</v>
      </c>
      <c r="AT28" s="35">
        <f>SUMIF('5 Year Supply Plan'!A:A,'JZ_BRAND SPLITS'!C28,'5 Year Supply Plan'!AB:AB)</f>
        <v>102</v>
      </c>
      <c r="AU28" s="35">
        <f t="shared" si="21"/>
        <v>102</v>
      </c>
      <c r="AV28" s="35">
        <f>SUMIF('5 Year Supply Plan'!A:A,'JZ_BRAND SPLITS'!C28,'5 Year Supply Plan'!AC:AC)</f>
        <v>99</v>
      </c>
      <c r="AW28" s="35">
        <f t="shared" si="22"/>
        <v>99</v>
      </c>
      <c r="AX28" s="35">
        <f>SUMIF('5 Year Supply Plan'!A:A,'JZ_BRAND SPLITS'!C28,'5 Year Supply Plan'!AD:AD)</f>
        <v>86</v>
      </c>
      <c r="AY28" s="35">
        <f t="shared" si="23"/>
        <v>86</v>
      </c>
      <c r="AZ28" s="35">
        <f>SUMIF('5 Year Supply Plan'!A:A,'JZ_BRAND SPLITS'!C28,'5 Year Supply Plan'!AE:AE)</f>
        <v>110</v>
      </c>
      <c r="BA28" s="35">
        <f t="shared" si="24"/>
        <v>110</v>
      </c>
      <c r="BB28" s="35">
        <f>SUMIF('5 Year Supply Plan'!A:A,'JZ_BRAND SPLITS'!C28,'5 Year Supply Plan'!AF:AF)</f>
        <v>107</v>
      </c>
      <c r="BC28" s="35">
        <f t="shared" si="25"/>
        <v>107</v>
      </c>
      <c r="BD28" s="35">
        <f>SUMIF('5 Year Supply Plan'!A:A,'JZ_BRAND SPLITS'!C28,'5 Year Supply Plan'!AG:AG)</f>
        <v>99</v>
      </c>
      <c r="BE28" s="35">
        <f t="shared" si="26"/>
        <v>99</v>
      </c>
      <c r="BF28" s="35">
        <f>SUMIF('5 Year Supply Plan'!A:A,'JZ_BRAND SPLITS'!C28,'5 Year Supply Plan'!AH:AH)</f>
        <v>99</v>
      </c>
      <c r="BG28" s="35">
        <f t="shared" si="27"/>
        <v>99</v>
      </c>
      <c r="BH28" s="35">
        <f>SUMIF('5 Year Supply Plan'!A:A,'JZ_BRAND SPLITS'!C28,'5 Year Supply Plan'!AI:AI)</f>
        <v>100</v>
      </c>
      <c r="BI28" s="35">
        <f t="shared" si="28"/>
        <v>100</v>
      </c>
      <c r="BJ28" s="35">
        <f>SUMIF('5 Year Supply Plan'!A:A,'JZ_BRAND SPLITS'!C28,'5 Year Supply Plan'!AJ:AJ)</f>
        <v>111</v>
      </c>
      <c r="BK28" s="35">
        <f t="shared" si="29"/>
        <v>111</v>
      </c>
      <c r="BL28" s="35">
        <f>SUMIF('5 Year Supply Plan'!A:A,'JZ_BRAND SPLITS'!C28,'5 Year Supply Plan'!AK:AK)</f>
        <v>101</v>
      </c>
      <c r="BM28" s="35">
        <f t="shared" si="30"/>
        <v>101</v>
      </c>
      <c r="BN28" s="35">
        <f>SUMIF('5 Year Supply Plan'!A:A,'JZ_BRAND SPLITS'!C28,'5 Year Supply Plan'!AL:AL)</f>
        <v>90</v>
      </c>
      <c r="BO28" s="35">
        <f t="shared" si="31"/>
        <v>90</v>
      </c>
      <c r="BP28" s="35">
        <f>SUMIF('5 Year Supply Plan'!A:A,'JZ_BRAND SPLITS'!C28,'5 Year Supply Plan'!AM:AM)</f>
        <v>96</v>
      </c>
      <c r="BQ28" s="35">
        <f t="shared" si="32"/>
        <v>96</v>
      </c>
      <c r="BR28" s="35">
        <f>SUMIF('5 Year Supply Plan'!A:A,'JZ_BRAND SPLITS'!C28,'5 Year Supply Plan'!AN:AN)</f>
        <v>111</v>
      </c>
      <c r="BS28" s="35">
        <f t="shared" si="33"/>
        <v>111</v>
      </c>
      <c r="BT28" s="35">
        <f>SUMIF('5 Year Supply Plan'!A:A,'JZ_BRAND SPLITS'!C28,'5 Year Supply Plan'!AO:AO)</f>
        <v>105</v>
      </c>
      <c r="BU28" s="35">
        <f t="shared" si="34"/>
        <v>105</v>
      </c>
      <c r="BV28" s="35">
        <f>SUMIF('5 Year Supply Plan'!A:A,'JZ_BRAND SPLITS'!C28,'5 Year Supply Plan'!AP:AP)</f>
        <v>93</v>
      </c>
      <c r="BW28" s="35">
        <f t="shared" si="35"/>
        <v>93</v>
      </c>
      <c r="BX28" s="35">
        <f>SUMIF('5 Year Supply Plan'!A:A,'JZ_BRAND SPLITS'!C28,'5 Year Supply Plan'!AQ:AQ)</f>
        <v>118</v>
      </c>
      <c r="BY28" s="35">
        <f t="shared" si="36"/>
        <v>118</v>
      </c>
      <c r="BZ28" s="35">
        <f>SUMIF('5 Year Supply Plan'!A:A,'JZ_BRAND SPLITS'!C28,'5 Year Supply Plan'!AR:AR)</f>
        <v>116</v>
      </c>
      <c r="CA28" s="35">
        <f t="shared" si="37"/>
        <v>116</v>
      </c>
      <c r="CB28" s="35">
        <f>SUMIF('5 Year Supply Plan'!A:A,'JZ_BRAND SPLITS'!C28,'5 Year Supply Plan'!AS:AS)</f>
        <v>106</v>
      </c>
      <c r="CC28" s="35">
        <f t="shared" si="38"/>
        <v>106</v>
      </c>
      <c r="CD28" s="35">
        <f>SUMIF('5 Year Supply Plan'!A:A,'JZ_BRAND SPLITS'!C28,'5 Year Supply Plan'!AT:AT)</f>
        <v>107</v>
      </c>
      <c r="CE28" s="35">
        <f t="shared" si="39"/>
        <v>107</v>
      </c>
      <c r="CF28" s="35">
        <f>SUMIF('5 Year Supply Plan'!A:A,'JZ_BRAND SPLITS'!C28,'5 Year Supply Plan'!AU:AU)</f>
        <v>107</v>
      </c>
      <c r="CG28" s="35">
        <f t="shared" si="40"/>
        <v>107</v>
      </c>
      <c r="CH28" s="35">
        <f>SUMIF('5 Year Supply Plan'!A:A,'JZ_BRAND SPLITS'!C28,'5 Year Supply Plan'!AV:AV)</f>
        <v>119</v>
      </c>
      <c r="CI28" s="35">
        <f t="shared" si="41"/>
        <v>119</v>
      </c>
      <c r="CJ28" s="35">
        <f>SUMIF('5 Year Supply Plan'!A:A,'JZ_BRAND SPLITS'!C28,'5 Year Supply Plan'!AW:AW)</f>
        <v>109</v>
      </c>
      <c r="CK28" s="35">
        <f t="shared" si="42"/>
        <v>109</v>
      </c>
      <c r="CL28" s="35">
        <f>SUMIF('5 Year Supply Plan'!A:A,'JZ_BRAND SPLITS'!C28,'5 Year Supply Plan'!AX:AX)</f>
        <v>96</v>
      </c>
      <c r="CM28" s="35">
        <f t="shared" si="43"/>
        <v>96</v>
      </c>
      <c r="CN28" s="35">
        <f>SUMIF('5 Year Supply Plan'!A:A,'JZ_BRAND SPLITS'!C28,'5 Year Supply Plan'!AY:AY)</f>
        <v>104</v>
      </c>
      <c r="CO28" s="35">
        <f t="shared" si="44"/>
        <v>104</v>
      </c>
      <c r="CP28" s="35">
        <f>SUMIF('5 Year Supply Plan'!A:A,'JZ_BRAND SPLITS'!C28,'5 Year Supply Plan'!AZ:AZ)</f>
        <v>119</v>
      </c>
      <c r="CQ28" s="35">
        <f t="shared" si="45"/>
        <v>119</v>
      </c>
      <c r="CR28" s="35">
        <f>SUMIF('5 Year Supply Plan'!A:A,'JZ_BRAND SPLITS'!C28,'5 Year Supply Plan'!BA:BA)</f>
        <v>114</v>
      </c>
      <c r="CS28" s="35">
        <f t="shared" si="46"/>
        <v>114</v>
      </c>
      <c r="CT28" s="35">
        <f>SUMIF('5 Year Supply Plan'!A:A,'JZ_BRAND SPLITS'!C28,'5 Year Supply Plan'!BB:BB)</f>
        <v>100</v>
      </c>
      <c r="CU28" s="35">
        <f t="shared" si="47"/>
        <v>100</v>
      </c>
      <c r="CV28" s="35">
        <f>SUMIF('5 Year Supply Plan'!A:A,'JZ_BRAND SPLITS'!C28,'5 Year Supply Plan'!BC:BC)</f>
        <v>128</v>
      </c>
      <c r="CW28" s="35">
        <f t="shared" si="48"/>
        <v>128</v>
      </c>
      <c r="CX28" s="35">
        <f>SUMIF('5 Year Supply Plan'!A:A,'JZ_BRAND SPLITS'!C28,'5 Year Supply Plan'!BD:BD)</f>
        <v>124</v>
      </c>
      <c r="CY28" s="35">
        <f t="shared" si="49"/>
        <v>124</v>
      </c>
      <c r="CZ28" s="35">
        <f>SUMIF('5 Year Supply Plan'!A:A,'JZ_BRAND SPLITS'!C28,'5 Year Supply Plan'!BE:BE)</f>
        <v>115</v>
      </c>
      <c r="DA28" s="35">
        <f t="shared" si="50"/>
        <v>115</v>
      </c>
      <c r="DB28" s="35">
        <f>SUMIF('5 Year Supply Plan'!A:A,'JZ_BRAND SPLITS'!C28,'5 Year Supply Plan'!BF:BF)</f>
        <v>115</v>
      </c>
      <c r="DC28" s="35">
        <f t="shared" si="51"/>
        <v>115</v>
      </c>
      <c r="DD28" s="35">
        <f>SUMIF('5 Year Supply Plan'!A:A,'JZ_BRAND SPLITS'!C28,'5 Year Supply Plan'!BG:BG)</f>
        <v>116</v>
      </c>
      <c r="DE28" s="35">
        <f t="shared" si="52"/>
        <v>116</v>
      </c>
      <c r="DF28" s="35">
        <f>SUMIF('5 Year Supply Plan'!A:A,'JZ_BRAND SPLITS'!C28,'5 Year Supply Plan'!BH:BH)</f>
        <v>128</v>
      </c>
      <c r="DG28" s="35">
        <f t="shared" si="53"/>
        <v>128</v>
      </c>
      <c r="DH28" s="35">
        <f>SUMIF('5 Year Supply Plan'!A:A,'JZ_BRAND SPLITS'!C28,'5 Year Supply Plan'!BI:BI)</f>
        <v>119</v>
      </c>
      <c r="DI28" s="35">
        <f t="shared" si="54"/>
        <v>119</v>
      </c>
      <c r="DJ28" s="35">
        <f>SUMIF('5 Year Supply Plan'!A:A,'JZ_BRAND SPLITS'!C28,'5 Year Supply Plan'!BJ:BJ)</f>
        <v>824</v>
      </c>
      <c r="DK28" s="35">
        <f t="shared" si="55"/>
        <v>824</v>
      </c>
      <c r="DL28" s="35">
        <f>SUMIF('5 Year Supply Plan'!A:A,'JZ_BRAND SPLITS'!C28,'5 Year Supply Plan'!BK:BK)</f>
        <v>2997</v>
      </c>
      <c r="DM28" s="35">
        <f t="shared" si="56"/>
        <v>2997</v>
      </c>
      <c r="DN28" s="42">
        <f>SUMIF('5 Year Supply Plan'!A:A,'JZ_BRAND SPLITS'!C28,'5 Year Supply Plan'!BL:BL)</f>
        <v>5479</v>
      </c>
      <c r="DO28" s="35">
        <f t="shared" si="57"/>
        <v>5479</v>
      </c>
      <c r="DP28" s="35">
        <f>SUMIF('5 Year Supply Plan'!A:A,'JZ_BRAND SPLITS'!C28,'5 Year Supply Plan'!BM:BM)</f>
        <v>567.25</v>
      </c>
      <c r="DQ28" s="35">
        <f t="shared" si="58"/>
        <v>567.25</v>
      </c>
      <c r="DR28" s="35">
        <f>SUMIF('5 Year Supply Plan'!A:A,'JZ_BRAND SPLITS'!C28,'5 Year Supply Plan'!BN:BN)</f>
        <v>567.25</v>
      </c>
      <c r="DS28" s="35">
        <f t="shared" si="59"/>
        <v>567.25</v>
      </c>
      <c r="DT28" s="39">
        <f t="shared" si="60"/>
        <v>43897.520079999995</v>
      </c>
      <c r="DU28" s="36">
        <f>SUMIF('5 Year Supply Plan'!A:A,'JZ_BRAND SPLITS'!C28,'5 Year Supply Plan'!BO:BO)</f>
        <v>43897.520080000002</v>
      </c>
    </row>
    <row r="29" spans="1:125" x14ac:dyDescent="0.25">
      <c r="A29" s="40" t="s">
        <v>264</v>
      </c>
      <c r="B29" s="40" t="s">
        <v>257</v>
      </c>
      <c r="C29" s="40" t="s">
        <v>91</v>
      </c>
      <c r="D29" s="40" t="str">
        <f t="shared" si="0"/>
        <v>C04BPRIMOPAC</v>
      </c>
      <c r="E29" s="41">
        <v>1</v>
      </c>
      <c r="F29" s="35">
        <f>SUMIF('5 Year Supply Plan'!A:A,'JZ_BRAND SPLITS'!C29,'5 Year Supply Plan'!H:H)</f>
        <v>132.97654700000001</v>
      </c>
      <c r="G29" s="35">
        <f t="shared" si="1"/>
        <v>132.97654700000001</v>
      </c>
      <c r="H29" s="35">
        <f>SUMIF('5 Year Supply Plan'!A:A,'JZ_BRAND SPLITS'!C29,'5 Year Supply Plan'!I:I)</f>
        <v>319.51757800000001</v>
      </c>
      <c r="I29" s="35">
        <f t="shared" si="2"/>
        <v>319.51757800000001</v>
      </c>
      <c r="J29" s="35">
        <f>SUMIF('5 Year Supply Plan'!A:A,'JZ_BRAND SPLITS'!C29,'5 Year Supply Plan'!J:J)</f>
        <v>309.63867199999999</v>
      </c>
      <c r="K29" s="35">
        <f t="shared" si="3"/>
        <v>309.63867199999999</v>
      </c>
      <c r="L29" s="35">
        <f>SUMIF('5 Year Supply Plan'!A:A,'JZ_BRAND SPLITS'!C29,'5 Year Supply Plan'!K:K)</f>
        <v>308</v>
      </c>
      <c r="M29" s="35">
        <f t="shared" si="4"/>
        <v>308</v>
      </c>
      <c r="N29" s="35">
        <f>SUMIF('5 Year Supply Plan'!A:A,'JZ_BRAND SPLITS'!C29,'5 Year Supply Plan'!L:L)</f>
        <v>147</v>
      </c>
      <c r="O29" s="35">
        <f t="shared" si="5"/>
        <v>147</v>
      </c>
      <c r="P29" s="35">
        <f>SUMIF('5 Year Supply Plan'!A:A,'JZ_BRAND SPLITS'!C29,'5 Year Supply Plan'!M:M)</f>
        <v>312</v>
      </c>
      <c r="Q29" s="35">
        <f t="shared" si="6"/>
        <v>312</v>
      </c>
      <c r="R29" s="35">
        <f>SUMIF('5 Year Supply Plan'!A:A,'JZ_BRAND SPLITS'!C29,'5 Year Supply Plan'!N:N)</f>
        <v>423</v>
      </c>
      <c r="S29" s="35">
        <f t="shared" si="7"/>
        <v>423</v>
      </c>
      <c r="T29" s="35">
        <f>SUMIF('5 Year Supply Plan'!A:A,'JZ_BRAND SPLITS'!C29,'5 Year Supply Plan'!O:O)</f>
        <v>444</v>
      </c>
      <c r="U29" s="35">
        <f t="shared" si="8"/>
        <v>444</v>
      </c>
      <c r="V29" s="35">
        <f>SUMIF('5 Year Supply Plan'!A:A,'JZ_BRAND SPLITS'!C29,'5 Year Supply Plan'!P:P)</f>
        <v>366</v>
      </c>
      <c r="W29" s="35">
        <f t="shared" si="9"/>
        <v>366</v>
      </c>
      <c r="X29" s="35">
        <f>SUMIF('5 Year Supply Plan'!A:A,'JZ_BRAND SPLITS'!C29,'5 Year Supply Plan'!Q:Q)</f>
        <v>329</v>
      </c>
      <c r="Y29" s="35">
        <f t="shared" si="10"/>
        <v>329</v>
      </c>
      <c r="Z29" s="35">
        <f>SUMIF('5 Year Supply Plan'!A:A,'JZ_BRAND SPLITS'!C29,'5 Year Supply Plan'!R:R)</f>
        <v>309</v>
      </c>
      <c r="AA29" s="35">
        <f t="shared" si="11"/>
        <v>309</v>
      </c>
      <c r="AB29" s="35">
        <f>SUMIF('5 Year Supply Plan'!A:A,'JZ_BRAND SPLITS'!C29,'5 Year Supply Plan'!S:S)</f>
        <v>375</v>
      </c>
      <c r="AC29" s="35">
        <f t="shared" si="12"/>
        <v>375</v>
      </c>
      <c r="AD29" s="35">
        <f>SUMIF('5 Year Supply Plan'!A:A,'JZ_BRAND SPLITS'!C29,'5 Year Supply Plan'!T:T)</f>
        <v>347</v>
      </c>
      <c r="AE29" s="35">
        <f t="shared" si="13"/>
        <v>347</v>
      </c>
      <c r="AF29" s="35">
        <f>SUMIF('5 Year Supply Plan'!A:A,'JZ_BRAND SPLITS'!C29,'5 Year Supply Plan'!U:U)</f>
        <v>313</v>
      </c>
      <c r="AG29" s="35">
        <f t="shared" si="14"/>
        <v>313</v>
      </c>
      <c r="AH29" s="35">
        <f>SUMIF('5 Year Supply Plan'!A:A,'JZ_BRAND SPLITS'!C29,'5 Year Supply Plan'!V:V)</f>
        <v>356</v>
      </c>
      <c r="AI29" s="35">
        <f t="shared" si="15"/>
        <v>356</v>
      </c>
      <c r="AJ29" s="35">
        <f>SUMIF('5 Year Supply Plan'!A:A,'JZ_BRAND SPLITS'!C29,'5 Year Supply Plan'!W:W)</f>
        <v>443</v>
      </c>
      <c r="AK29" s="35">
        <f t="shared" si="16"/>
        <v>443</v>
      </c>
      <c r="AL29" s="35">
        <f>SUMIF('5 Year Supply Plan'!A:A,'JZ_BRAND SPLITS'!C29,'5 Year Supply Plan'!X:X)</f>
        <v>575</v>
      </c>
      <c r="AM29" s="35">
        <f t="shared" si="17"/>
        <v>575</v>
      </c>
      <c r="AN29" s="35">
        <f>SUMIF('5 Year Supply Plan'!A:A,'JZ_BRAND SPLITS'!C29,'5 Year Supply Plan'!Y:Y)</f>
        <v>570</v>
      </c>
      <c r="AO29" s="35">
        <f t="shared" si="18"/>
        <v>570</v>
      </c>
      <c r="AP29" s="35">
        <f>SUMIF('5 Year Supply Plan'!A:A,'JZ_BRAND SPLITS'!C29,'5 Year Supply Plan'!Z:Z)</f>
        <v>489</v>
      </c>
      <c r="AQ29" s="35">
        <f t="shared" si="19"/>
        <v>489</v>
      </c>
      <c r="AR29" s="35">
        <f>SUMIF('5 Year Supply Plan'!A:A,'JZ_BRAND SPLITS'!C29,'5 Year Supply Plan'!AA:AA)</f>
        <v>407</v>
      </c>
      <c r="AS29" s="35">
        <f t="shared" si="20"/>
        <v>407</v>
      </c>
      <c r="AT29" s="35">
        <f>SUMIF('5 Year Supply Plan'!A:A,'JZ_BRAND SPLITS'!C29,'5 Year Supply Plan'!AB:AB)</f>
        <v>349</v>
      </c>
      <c r="AU29" s="35">
        <f t="shared" si="21"/>
        <v>349</v>
      </c>
      <c r="AV29" s="35">
        <f>SUMIF('5 Year Supply Plan'!A:A,'JZ_BRAND SPLITS'!C29,'5 Year Supply Plan'!AC:AC)</f>
        <v>364</v>
      </c>
      <c r="AW29" s="35">
        <f t="shared" si="22"/>
        <v>364</v>
      </c>
      <c r="AX29" s="35">
        <f>SUMIF('5 Year Supply Plan'!A:A,'JZ_BRAND SPLITS'!C29,'5 Year Supply Plan'!AD:AD)</f>
        <v>339</v>
      </c>
      <c r="AY29" s="35">
        <f t="shared" si="23"/>
        <v>339</v>
      </c>
      <c r="AZ29" s="35">
        <f>SUMIF('5 Year Supply Plan'!A:A,'JZ_BRAND SPLITS'!C29,'5 Year Supply Plan'!AE:AE)</f>
        <v>416</v>
      </c>
      <c r="BA29" s="35">
        <f t="shared" si="24"/>
        <v>416</v>
      </c>
      <c r="BB29" s="35">
        <f>SUMIF('5 Year Supply Plan'!A:A,'JZ_BRAND SPLITS'!C29,'5 Year Supply Plan'!AF:AF)</f>
        <v>388</v>
      </c>
      <c r="BC29" s="35">
        <f t="shared" si="25"/>
        <v>388</v>
      </c>
      <c r="BD29" s="35">
        <f>SUMIF('5 Year Supply Plan'!A:A,'JZ_BRAND SPLITS'!C29,'5 Year Supply Plan'!AG:AG)</f>
        <v>349</v>
      </c>
      <c r="BE29" s="35">
        <f t="shared" si="26"/>
        <v>349</v>
      </c>
      <c r="BF29" s="35">
        <f>SUMIF('5 Year Supply Plan'!A:A,'JZ_BRAND SPLITS'!C29,'5 Year Supply Plan'!AH:AH)</f>
        <v>392</v>
      </c>
      <c r="BG29" s="35">
        <f t="shared" si="27"/>
        <v>392</v>
      </c>
      <c r="BH29" s="35">
        <f>SUMIF('5 Year Supply Plan'!A:A,'JZ_BRAND SPLITS'!C29,'5 Year Supply Plan'!AI:AI)</f>
        <v>478</v>
      </c>
      <c r="BI29" s="35">
        <f t="shared" si="28"/>
        <v>478</v>
      </c>
      <c r="BJ29" s="35">
        <f>SUMIF('5 Year Supply Plan'!A:A,'JZ_BRAND SPLITS'!C29,'5 Year Supply Plan'!AJ:AJ)</f>
        <v>611</v>
      </c>
      <c r="BK29" s="35">
        <f t="shared" si="29"/>
        <v>611</v>
      </c>
      <c r="BL29" s="35">
        <f>SUMIF('5 Year Supply Plan'!A:A,'JZ_BRAND SPLITS'!C29,'5 Year Supply Plan'!AK:AK)</f>
        <v>602</v>
      </c>
      <c r="BM29" s="35">
        <f t="shared" si="30"/>
        <v>602</v>
      </c>
      <c r="BN29" s="35">
        <f>SUMIF('5 Year Supply Plan'!A:A,'JZ_BRAND SPLITS'!C29,'5 Year Supply Plan'!AL:AL)</f>
        <v>517</v>
      </c>
      <c r="BO29" s="35">
        <f t="shared" si="31"/>
        <v>517</v>
      </c>
      <c r="BP29" s="35">
        <f>SUMIF('5 Year Supply Plan'!A:A,'JZ_BRAND SPLITS'!C29,'5 Year Supply Plan'!AM:AM)</f>
        <v>442</v>
      </c>
      <c r="BQ29" s="35">
        <f t="shared" si="32"/>
        <v>442</v>
      </c>
      <c r="BR29" s="35">
        <f>SUMIF('5 Year Supply Plan'!A:A,'JZ_BRAND SPLITS'!C29,'5 Year Supply Plan'!AN:AN)</f>
        <v>385</v>
      </c>
      <c r="BS29" s="35">
        <f t="shared" si="33"/>
        <v>385</v>
      </c>
      <c r="BT29" s="35">
        <f>SUMIF('5 Year Supply Plan'!A:A,'JZ_BRAND SPLITS'!C29,'5 Year Supply Plan'!AO:AO)</f>
        <v>385</v>
      </c>
      <c r="BU29" s="35">
        <f t="shared" si="34"/>
        <v>385</v>
      </c>
      <c r="BV29" s="35">
        <f>SUMIF('5 Year Supply Plan'!A:A,'JZ_BRAND SPLITS'!C29,'5 Year Supply Plan'!AP:AP)</f>
        <v>358</v>
      </c>
      <c r="BW29" s="35">
        <f t="shared" si="35"/>
        <v>358</v>
      </c>
      <c r="BX29" s="35">
        <f>SUMIF('5 Year Supply Plan'!A:A,'JZ_BRAND SPLITS'!C29,'5 Year Supply Plan'!AQ:AQ)</f>
        <v>440</v>
      </c>
      <c r="BY29" s="35">
        <f t="shared" si="36"/>
        <v>440</v>
      </c>
      <c r="BZ29" s="35">
        <f>SUMIF('5 Year Supply Plan'!A:A,'JZ_BRAND SPLITS'!C29,'5 Year Supply Plan'!AR:AR)</f>
        <v>410</v>
      </c>
      <c r="CA29" s="35">
        <f t="shared" si="37"/>
        <v>410</v>
      </c>
      <c r="CB29" s="35">
        <f>SUMIF('5 Year Supply Plan'!A:A,'JZ_BRAND SPLITS'!C29,'5 Year Supply Plan'!AS:AS)</f>
        <v>370</v>
      </c>
      <c r="CC29" s="35">
        <f t="shared" si="38"/>
        <v>370</v>
      </c>
      <c r="CD29" s="35">
        <f>SUMIF('5 Year Supply Plan'!A:A,'JZ_BRAND SPLITS'!C29,'5 Year Supply Plan'!AT:AT)</f>
        <v>412</v>
      </c>
      <c r="CE29" s="35">
        <f t="shared" si="39"/>
        <v>412</v>
      </c>
      <c r="CF29" s="35">
        <f>SUMIF('5 Year Supply Plan'!A:A,'JZ_BRAND SPLITS'!C29,'5 Year Supply Plan'!AU:AU)</f>
        <v>500</v>
      </c>
      <c r="CG29" s="35">
        <f t="shared" si="40"/>
        <v>500</v>
      </c>
      <c r="CH29" s="35">
        <f>SUMIF('5 Year Supply Plan'!A:A,'JZ_BRAND SPLITS'!C29,'5 Year Supply Plan'!AV:AV)</f>
        <v>634</v>
      </c>
      <c r="CI29" s="35">
        <f t="shared" si="41"/>
        <v>634</v>
      </c>
      <c r="CJ29" s="35">
        <f>SUMIF('5 Year Supply Plan'!A:A,'JZ_BRAND SPLITS'!C29,'5 Year Supply Plan'!AW:AW)</f>
        <v>623</v>
      </c>
      <c r="CK29" s="35">
        <f t="shared" si="42"/>
        <v>623</v>
      </c>
      <c r="CL29" s="35">
        <f>SUMIF('5 Year Supply Plan'!A:A,'JZ_BRAND SPLITS'!C29,'5 Year Supply Plan'!AX:AX)</f>
        <v>537</v>
      </c>
      <c r="CM29" s="35">
        <f t="shared" si="43"/>
        <v>537</v>
      </c>
      <c r="CN29" s="35">
        <f>SUMIF('5 Year Supply Plan'!A:A,'JZ_BRAND SPLITS'!C29,'5 Year Supply Plan'!AY:AY)</f>
        <v>465</v>
      </c>
      <c r="CO29" s="35">
        <f t="shared" si="44"/>
        <v>465</v>
      </c>
      <c r="CP29" s="35">
        <f>SUMIF('5 Year Supply Plan'!A:A,'JZ_BRAND SPLITS'!C29,'5 Year Supply Plan'!AZ:AZ)</f>
        <v>414</v>
      </c>
      <c r="CQ29" s="35">
        <f t="shared" si="45"/>
        <v>414</v>
      </c>
      <c r="CR29" s="35">
        <f>SUMIF('5 Year Supply Plan'!A:A,'JZ_BRAND SPLITS'!C29,'5 Year Supply Plan'!BA:BA)</f>
        <v>418</v>
      </c>
      <c r="CS29" s="35">
        <f t="shared" si="46"/>
        <v>418</v>
      </c>
      <c r="CT29" s="35">
        <f>SUMIF('5 Year Supply Plan'!A:A,'JZ_BRAND SPLITS'!C29,'5 Year Supply Plan'!BB:BB)</f>
        <v>388</v>
      </c>
      <c r="CU29" s="35">
        <f t="shared" si="47"/>
        <v>388</v>
      </c>
      <c r="CV29" s="35">
        <f>SUMIF('5 Year Supply Plan'!A:A,'JZ_BRAND SPLITS'!C29,'5 Year Supply Plan'!BC:BC)</f>
        <v>476</v>
      </c>
      <c r="CW29" s="35">
        <f t="shared" si="48"/>
        <v>476</v>
      </c>
      <c r="CX29" s="35">
        <f>SUMIF('5 Year Supply Plan'!A:A,'JZ_BRAND SPLITS'!C29,'5 Year Supply Plan'!BD:BD)</f>
        <v>447</v>
      </c>
      <c r="CY29" s="35">
        <f t="shared" si="49"/>
        <v>447</v>
      </c>
      <c r="CZ29" s="35">
        <f>SUMIF('5 Year Supply Plan'!A:A,'JZ_BRAND SPLITS'!C29,'5 Year Supply Plan'!BE:BE)</f>
        <v>403</v>
      </c>
      <c r="DA29" s="35">
        <f t="shared" si="50"/>
        <v>403</v>
      </c>
      <c r="DB29" s="35">
        <f>SUMIF('5 Year Supply Plan'!A:A,'JZ_BRAND SPLITS'!C29,'5 Year Supply Plan'!BF:BF)</f>
        <v>445</v>
      </c>
      <c r="DC29" s="35">
        <f t="shared" si="51"/>
        <v>445</v>
      </c>
      <c r="DD29" s="35">
        <f>SUMIF('5 Year Supply Plan'!A:A,'JZ_BRAND SPLITS'!C29,'5 Year Supply Plan'!BG:BG)</f>
        <v>532</v>
      </c>
      <c r="DE29" s="35">
        <f t="shared" si="52"/>
        <v>532</v>
      </c>
      <c r="DF29" s="35">
        <f>SUMIF('5 Year Supply Plan'!A:A,'JZ_BRAND SPLITS'!C29,'5 Year Supply Plan'!BH:BH)</f>
        <v>669</v>
      </c>
      <c r="DG29" s="35">
        <f t="shared" si="53"/>
        <v>669</v>
      </c>
      <c r="DH29" s="35">
        <f>SUMIF('5 Year Supply Plan'!A:A,'JZ_BRAND SPLITS'!C29,'5 Year Supply Plan'!BI:BI)</f>
        <v>655</v>
      </c>
      <c r="DI29" s="35">
        <f t="shared" si="54"/>
        <v>655</v>
      </c>
      <c r="DJ29" s="35">
        <f>SUMIF('5 Year Supply Plan'!A:A,'JZ_BRAND SPLITS'!C29,'5 Year Supply Plan'!BJ:BJ)</f>
        <v>598</v>
      </c>
      <c r="DK29" s="35">
        <f t="shared" si="55"/>
        <v>598</v>
      </c>
      <c r="DL29" s="35">
        <f>SUMIF('5 Year Supply Plan'!A:A,'JZ_BRAND SPLITS'!C29,'5 Year Supply Plan'!BK:BK)</f>
        <v>612</v>
      </c>
      <c r="DM29" s="35">
        <f t="shared" si="56"/>
        <v>612</v>
      </c>
      <c r="DN29" s="42">
        <f>SUMIF('5 Year Supply Plan'!A:A,'JZ_BRAND SPLITS'!C29,'5 Year Supply Plan'!BL:BL)</f>
        <v>641</v>
      </c>
      <c r="DO29" s="35">
        <f t="shared" si="57"/>
        <v>641</v>
      </c>
      <c r="DP29" s="35">
        <f>SUMIF('5 Year Supply Plan'!A:A,'JZ_BRAND SPLITS'!C29,'5 Year Supply Plan'!BM:BM)</f>
        <v>545.125</v>
      </c>
      <c r="DQ29" s="35">
        <f t="shared" si="58"/>
        <v>545.125</v>
      </c>
      <c r="DR29" s="35">
        <f>SUMIF('5 Year Supply Plan'!A:A,'JZ_BRAND SPLITS'!C29,'5 Year Supply Plan'!BN:BN)</f>
        <v>545.125</v>
      </c>
      <c r="DS29" s="35">
        <f t="shared" si="59"/>
        <v>545.125</v>
      </c>
      <c r="DT29" s="39">
        <f t="shared" si="60"/>
        <v>25829.382796999998</v>
      </c>
      <c r="DU29" s="36">
        <f>SUMIF('5 Year Supply Plan'!A:A,'JZ_BRAND SPLITS'!C29,'5 Year Supply Plan'!BO:BO)</f>
        <v>25829.382796999998</v>
      </c>
    </row>
    <row r="30" spans="1:125" x14ac:dyDescent="0.25">
      <c r="A30" s="40" t="s">
        <v>264</v>
      </c>
      <c r="B30" s="40" t="s">
        <v>257</v>
      </c>
      <c r="C30" s="40" t="s">
        <v>92</v>
      </c>
      <c r="D30" s="40" t="str">
        <f t="shared" si="0"/>
        <v>C04BPROPAC</v>
      </c>
      <c r="E30" s="41">
        <v>1</v>
      </c>
      <c r="F30" s="35">
        <f>SUMIF('5 Year Supply Plan'!A:A,'JZ_BRAND SPLITS'!C30,'5 Year Supply Plan'!H:H)</f>
        <v>278.74603300000001</v>
      </c>
      <c r="G30" s="35">
        <f t="shared" si="1"/>
        <v>278.74603300000001</v>
      </c>
      <c r="H30" s="35">
        <f>SUMIF('5 Year Supply Plan'!A:A,'JZ_BRAND SPLITS'!C30,'5 Year Supply Plan'!I:I)</f>
        <v>98.868911999999995</v>
      </c>
      <c r="I30" s="35">
        <f t="shared" si="2"/>
        <v>98.868911999999995</v>
      </c>
      <c r="J30" s="35">
        <f>SUMIF('5 Year Supply Plan'!A:A,'JZ_BRAND SPLITS'!C30,'5 Year Supply Plan'!J:J)</f>
        <v>142.33535800000001</v>
      </c>
      <c r="K30" s="35">
        <f t="shared" si="3"/>
        <v>142.33535800000001</v>
      </c>
      <c r="L30" s="35">
        <f>SUMIF('5 Year Supply Plan'!A:A,'JZ_BRAND SPLITS'!C30,'5 Year Supply Plan'!K:K)</f>
        <v>425</v>
      </c>
      <c r="M30" s="35">
        <f t="shared" si="4"/>
        <v>425</v>
      </c>
      <c r="N30" s="35">
        <f>SUMIF('5 Year Supply Plan'!A:A,'JZ_BRAND SPLITS'!C30,'5 Year Supply Plan'!L:L)</f>
        <v>323</v>
      </c>
      <c r="O30" s="35">
        <f t="shared" si="5"/>
        <v>323</v>
      </c>
      <c r="P30" s="35">
        <f>SUMIF('5 Year Supply Plan'!A:A,'JZ_BRAND SPLITS'!C30,'5 Year Supply Plan'!M:M)</f>
        <v>411</v>
      </c>
      <c r="Q30" s="35">
        <f t="shared" si="6"/>
        <v>411</v>
      </c>
      <c r="R30" s="35">
        <f>SUMIF('5 Year Supply Plan'!A:A,'JZ_BRAND SPLITS'!C30,'5 Year Supply Plan'!N:N)</f>
        <v>365</v>
      </c>
      <c r="S30" s="35">
        <f t="shared" si="7"/>
        <v>365</v>
      </c>
      <c r="T30" s="35">
        <f>SUMIF('5 Year Supply Plan'!A:A,'JZ_BRAND SPLITS'!C30,'5 Year Supply Plan'!O:O)</f>
        <v>396</v>
      </c>
      <c r="U30" s="35">
        <f t="shared" si="8"/>
        <v>396</v>
      </c>
      <c r="V30" s="35">
        <f>SUMIF('5 Year Supply Plan'!A:A,'JZ_BRAND SPLITS'!C30,'5 Year Supply Plan'!P:P)</f>
        <v>422</v>
      </c>
      <c r="W30" s="35">
        <f t="shared" si="9"/>
        <v>422</v>
      </c>
      <c r="X30" s="35">
        <f>SUMIF('5 Year Supply Plan'!A:A,'JZ_BRAND SPLITS'!C30,'5 Year Supply Plan'!Q:Q)</f>
        <v>358</v>
      </c>
      <c r="Y30" s="35">
        <f t="shared" si="10"/>
        <v>358</v>
      </c>
      <c r="Z30" s="35">
        <f>SUMIF('5 Year Supply Plan'!A:A,'JZ_BRAND SPLITS'!C30,'5 Year Supply Plan'!R:R)</f>
        <v>316</v>
      </c>
      <c r="AA30" s="35">
        <f t="shared" si="11"/>
        <v>316</v>
      </c>
      <c r="AB30" s="35">
        <f>SUMIF('5 Year Supply Plan'!A:A,'JZ_BRAND SPLITS'!C30,'5 Year Supply Plan'!S:S)</f>
        <v>401</v>
      </c>
      <c r="AC30" s="35">
        <f t="shared" si="12"/>
        <v>401</v>
      </c>
      <c r="AD30" s="35">
        <f>SUMIF('5 Year Supply Plan'!A:A,'JZ_BRAND SPLITS'!C30,'5 Year Supply Plan'!T:T)</f>
        <v>390</v>
      </c>
      <c r="AE30" s="35">
        <f t="shared" si="13"/>
        <v>390</v>
      </c>
      <c r="AF30" s="35">
        <f>SUMIF('5 Year Supply Plan'!A:A,'JZ_BRAND SPLITS'!C30,'5 Year Supply Plan'!U:U)</f>
        <v>352</v>
      </c>
      <c r="AG30" s="35">
        <f t="shared" si="14"/>
        <v>352</v>
      </c>
      <c r="AH30" s="35">
        <f>SUMIF('5 Year Supply Plan'!A:A,'JZ_BRAND SPLITS'!C30,'5 Year Supply Plan'!V:V)</f>
        <v>360</v>
      </c>
      <c r="AI30" s="35">
        <f t="shared" si="15"/>
        <v>360</v>
      </c>
      <c r="AJ30" s="35">
        <f>SUMIF('5 Year Supply Plan'!A:A,'JZ_BRAND SPLITS'!C30,'5 Year Supply Plan'!W:W)</f>
        <v>365</v>
      </c>
      <c r="AK30" s="35">
        <f t="shared" si="16"/>
        <v>365</v>
      </c>
      <c r="AL30" s="35">
        <f>SUMIF('5 Year Supply Plan'!A:A,'JZ_BRAND SPLITS'!C30,'5 Year Supply Plan'!X:X)</f>
        <v>397</v>
      </c>
      <c r="AM30" s="35">
        <f t="shared" si="17"/>
        <v>397</v>
      </c>
      <c r="AN30" s="35">
        <f>SUMIF('5 Year Supply Plan'!A:A,'JZ_BRAND SPLITS'!C30,'5 Year Supply Plan'!Y:Y)</f>
        <v>364</v>
      </c>
      <c r="AO30" s="35">
        <f t="shared" si="18"/>
        <v>364</v>
      </c>
      <c r="AP30" s="35">
        <f>SUMIF('5 Year Supply Plan'!A:A,'JZ_BRAND SPLITS'!C30,'5 Year Supply Plan'!Z:Z)</f>
        <v>323</v>
      </c>
      <c r="AQ30" s="35">
        <f t="shared" si="19"/>
        <v>323</v>
      </c>
      <c r="AR30" s="35">
        <f>SUMIF('5 Year Supply Plan'!A:A,'JZ_BRAND SPLITS'!C30,'5 Year Supply Plan'!AA:AA)</f>
        <v>351</v>
      </c>
      <c r="AS30" s="35">
        <f t="shared" si="20"/>
        <v>351</v>
      </c>
      <c r="AT30" s="35">
        <f>SUMIF('5 Year Supply Plan'!A:A,'JZ_BRAND SPLITS'!C30,'5 Year Supply Plan'!AB:AB)</f>
        <v>396</v>
      </c>
      <c r="AU30" s="35">
        <f t="shared" si="21"/>
        <v>396</v>
      </c>
      <c r="AV30" s="35">
        <f>SUMIF('5 Year Supply Plan'!A:A,'JZ_BRAND SPLITS'!C30,'5 Year Supply Plan'!AC:AC)</f>
        <v>385</v>
      </c>
      <c r="AW30" s="35">
        <f t="shared" si="22"/>
        <v>385</v>
      </c>
      <c r="AX30" s="35">
        <f>SUMIF('5 Year Supply Plan'!A:A,'JZ_BRAND SPLITS'!C30,'5 Year Supply Plan'!AD:AD)</f>
        <v>341</v>
      </c>
      <c r="AY30" s="35">
        <f t="shared" si="23"/>
        <v>341</v>
      </c>
      <c r="AZ30" s="35">
        <f>SUMIF('5 Year Supply Plan'!A:A,'JZ_BRAND SPLITS'!C30,'5 Year Supply Plan'!AE:AE)</f>
        <v>433</v>
      </c>
      <c r="BA30" s="35">
        <f t="shared" si="24"/>
        <v>433</v>
      </c>
      <c r="BB30" s="35">
        <f>SUMIF('5 Year Supply Plan'!A:A,'JZ_BRAND SPLITS'!C30,'5 Year Supply Plan'!AF:AF)</f>
        <v>420</v>
      </c>
      <c r="BC30" s="35">
        <f t="shared" si="25"/>
        <v>420</v>
      </c>
      <c r="BD30" s="35">
        <f>SUMIF('5 Year Supply Plan'!A:A,'JZ_BRAND SPLITS'!C30,'5 Year Supply Plan'!AG:AG)</f>
        <v>379</v>
      </c>
      <c r="BE30" s="35">
        <f t="shared" si="26"/>
        <v>379</v>
      </c>
      <c r="BF30" s="35">
        <f>SUMIF('5 Year Supply Plan'!A:A,'JZ_BRAND SPLITS'!C30,'5 Year Supply Plan'!AH:AH)</f>
        <v>389</v>
      </c>
      <c r="BG30" s="35">
        <f t="shared" si="27"/>
        <v>389</v>
      </c>
      <c r="BH30" s="35">
        <f>SUMIF('5 Year Supply Plan'!A:A,'JZ_BRAND SPLITS'!C30,'5 Year Supply Plan'!AI:AI)</f>
        <v>392</v>
      </c>
      <c r="BI30" s="35">
        <f t="shared" si="28"/>
        <v>392</v>
      </c>
      <c r="BJ30" s="35">
        <f>SUMIF('5 Year Supply Plan'!A:A,'JZ_BRAND SPLITS'!C30,'5 Year Supply Plan'!AJ:AJ)</f>
        <v>428</v>
      </c>
      <c r="BK30" s="35">
        <f t="shared" si="29"/>
        <v>428</v>
      </c>
      <c r="BL30" s="35">
        <f>SUMIF('5 Year Supply Plan'!A:A,'JZ_BRAND SPLITS'!C30,'5 Year Supply Plan'!AK:AK)</f>
        <v>393</v>
      </c>
      <c r="BM30" s="35">
        <f t="shared" si="30"/>
        <v>393</v>
      </c>
      <c r="BN30" s="35">
        <f>SUMIF('5 Year Supply Plan'!A:A,'JZ_BRAND SPLITS'!C30,'5 Year Supply Plan'!AL:AL)</f>
        <v>349</v>
      </c>
      <c r="BO30" s="35">
        <f t="shared" si="31"/>
        <v>349</v>
      </c>
      <c r="BP30" s="35">
        <f>SUMIF('5 Year Supply Plan'!A:A,'JZ_BRAND SPLITS'!C30,'5 Year Supply Plan'!AM:AM)</f>
        <v>377</v>
      </c>
      <c r="BQ30" s="35">
        <f t="shared" si="32"/>
        <v>377</v>
      </c>
      <c r="BR30" s="35">
        <f>SUMIF('5 Year Supply Plan'!A:A,'JZ_BRAND SPLITS'!C30,'5 Year Supply Plan'!AN:AN)</f>
        <v>425</v>
      </c>
      <c r="BS30" s="35">
        <f t="shared" si="33"/>
        <v>425</v>
      </c>
      <c r="BT30" s="35">
        <f>SUMIF('5 Year Supply Plan'!A:A,'JZ_BRAND SPLITS'!C30,'5 Year Supply Plan'!AO:AO)</f>
        <v>413</v>
      </c>
      <c r="BU30" s="35">
        <f t="shared" si="34"/>
        <v>413</v>
      </c>
      <c r="BV30" s="35">
        <f>SUMIF('5 Year Supply Plan'!A:A,'JZ_BRAND SPLITS'!C30,'5 Year Supply Plan'!AP:AP)</f>
        <v>366</v>
      </c>
      <c r="BW30" s="35">
        <f t="shared" si="35"/>
        <v>366</v>
      </c>
      <c r="BX30" s="35">
        <f>SUMIF('5 Year Supply Plan'!A:A,'JZ_BRAND SPLITS'!C30,'5 Year Supply Plan'!AQ:AQ)</f>
        <v>464</v>
      </c>
      <c r="BY30" s="35">
        <f t="shared" si="36"/>
        <v>464</v>
      </c>
      <c r="BZ30" s="35">
        <f>SUMIF('5 Year Supply Plan'!A:A,'JZ_BRAND SPLITS'!C30,'5 Year Supply Plan'!AR:AR)</f>
        <v>451</v>
      </c>
      <c r="CA30" s="35">
        <f t="shared" si="37"/>
        <v>451</v>
      </c>
      <c r="CB30" s="35">
        <f>SUMIF('5 Year Supply Plan'!A:A,'JZ_BRAND SPLITS'!C30,'5 Year Supply Plan'!AS:AS)</f>
        <v>407</v>
      </c>
      <c r="CC30" s="35">
        <f t="shared" si="38"/>
        <v>407</v>
      </c>
      <c r="CD30" s="35">
        <f>SUMIF('5 Year Supply Plan'!A:A,'JZ_BRAND SPLITS'!C30,'5 Year Supply Plan'!AT:AT)</f>
        <v>416</v>
      </c>
      <c r="CE30" s="35">
        <f t="shared" si="39"/>
        <v>416</v>
      </c>
      <c r="CF30" s="35">
        <f>SUMIF('5 Year Supply Plan'!A:A,'JZ_BRAND SPLITS'!C30,'5 Year Supply Plan'!AU:AU)</f>
        <v>420</v>
      </c>
      <c r="CG30" s="35">
        <f t="shared" si="40"/>
        <v>420</v>
      </c>
      <c r="CH30" s="35">
        <f>SUMIF('5 Year Supply Plan'!A:A,'JZ_BRAND SPLITS'!C30,'5 Year Supply Plan'!AV:AV)</f>
        <v>460</v>
      </c>
      <c r="CI30" s="35">
        <f t="shared" si="41"/>
        <v>460</v>
      </c>
      <c r="CJ30" s="35">
        <f>SUMIF('5 Year Supply Plan'!A:A,'JZ_BRAND SPLITS'!C30,'5 Year Supply Plan'!AW:AW)</f>
        <v>421</v>
      </c>
      <c r="CK30" s="35">
        <f t="shared" si="42"/>
        <v>421</v>
      </c>
      <c r="CL30" s="35">
        <f>SUMIF('5 Year Supply Plan'!A:A,'JZ_BRAND SPLITS'!C30,'5 Year Supply Plan'!AX:AX)</f>
        <v>373</v>
      </c>
      <c r="CM30" s="35">
        <f t="shared" si="43"/>
        <v>373</v>
      </c>
      <c r="CN30" s="35">
        <f>SUMIF('5 Year Supply Plan'!A:A,'JZ_BRAND SPLITS'!C30,'5 Year Supply Plan'!AY:AY)</f>
        <v>408</v>
      </c>
      <c r="CO30" s="35">
        <f t="shared" si="44"/>
        <v>408</v>
      </c>
      <c r="CP30" s="35">
        <f>SUMIF('5 Year Supply Plan'!A:A,'JZ_BRAND SPLITS'!C30,'5 Year Supply Plan'!AZ:AZ)</f>
        <v>464</v>
      </c>
      <c r="CQ30" s="35">
        <f t="shared" si="45"/>
        <v>464</v>
      </c>
      <c r="CR30" s="35">
        <f>SUMIF('5 Year Supply Plan'!A:A,'JZ_BRAND SPLITS'!C30,'5 Year Supply Plan'!BA:BA)</f>
        <v>447</v>
      </c>
      <c r="CS30" s="35">
        <f t="shared" si="46"/>
        <v>447</v>
      </c>
      <c r="CT30" s="35">
        <f>SUMIF('5 Year Supply Plan'!A:A,'JZ_BRAND SPLITS'!C30,'5 Year Supply Plan'!BB:BB)</f>
        <v>396</v>
      </c>
      <c r="CU30" s="35">
        <f t="shared" si="47"/>
        <v>396</v>
      </c>
      <c r="CV30" s="35">
        <f>SUMIF('5 Year Supply Plan'!A:A,'JZ_BRAND SPLITS'!C30,'5 Year Supply Plan'!BC:BC)</f>
        <v>502</v>
      </c>
      <c r="CW30" s="35">
        <f t="shared" si="48"/>
        <v>502</v>
      </c>
      <c r="CX30" s="35">
        <f>SUMIF('5 Year Supply Plan'!A:A,'JZ_BRAND SPLITS'!C30,'5 Year Supply Plan'!BD:BD)</f>
        <v>488</v>
      </c>
      <c r="CY30" s="35">
        <f t="shared" si="49"/>
        <v>488</v>
      </c>
      <c r="CZ30" s="35">
        <f>SUMIF('5 Year Supply Plan'!A:A,'JZ_BRAND SPLITS'!C30,'5 Year Supply Plan'!BE:BE)</f>
        <v>439</v>
      </c>
      <c r="DA30" s="35">
        <f t="shared" si="50"/>
        <v>439</v>
      </c>
      <c r="DB30" s="35">
        <f>SUMIF('5 Year Supply Plan'!A:A,'JZ_BRAND SPLITS'!C30,'5 Year Supply Plan'!BF:BF)</f>
        <v>452</v>
      </c>
      <c r="DC30" s="35">
        <f t="shared" si="51"/>
        <v>452</v>
      </c>
      <c r="DD30" s="35">
        <f>SUMIF('5 Year Supply Plan'!A:A,'JZ_BRAND SPLITS'!C30,'5 Year Supply Plan'!BG:BG)</f>
        <v>455</v>
      </c>
      <c r="DE30" s="35">
        <f t="shared" si="52"/>
        <v>455</v>
      </c>
      <c r="DF30" s="35">
        <f>SUMIF('5 Year Supply Plan'!A:A,'JZ_BRAND SPLITS'!C30,'5 Year Supply Plan'!BH:BH)</f>
        <v>497</v>
      </c>
      <c r="DG30" s="35">
        <f t="shared" si="53"/>
        <v>497</v>
      </c>
      <c r="DH30" s="35">
        <f>SUMIF('5 Year Supply Plan'!A:A,'JZ_BRAND SPLITS'!C30,'5 Year Supply Plan'!BI:BI)</f>
        <v>455</v>
      </c>
      <c r="DI30" s="35">
        <f t="shared" si="54"/>
        <v>455</v>
      </c>
      <c r="DJ30" s="35">
        <f>SUMIF('5 Year Supply Plan'!A:A,'JZ_BRAND SPLITS'!C30,'5 Year Supply Plan'!BJ:BJ)</f>
        <v>411</v>
      </c>
      <c r="DK30" s="35">
        <f t="shared" si="55"/>
        <v>411</v>
      </c>
      <c r="DL30" s="35">
        <f>SUMIF('5 Year Supply Plan'!A:A,'JZ_BRAND SPLITS'!C30,'5 Year Supply Plan'!BK:BK)</f>
        <v>522</v>
      </c>
      <c r="DM30" s="35">
        <f t="shared" si="56"/>
        <v>522</v>
      </c>
      <c r="DN30" s="42">
        <f>SUMIF('5 Year Supply Plan'!A:A,'JZ_BRAND SPLITS'!C30,'5 Year Supply Plan'!BL:BL)</f>
        <v>771</v>
      </c>
      <c r="DO30" s="35">
        <f t="shared" si="57"/>
        <v>771</v>
      </c>
      <c r="DP30" s="35">
        <f>SUMIF('5 Year Supply Plan'!A:A,'JZ_BRAND SPLITS'!C30,'5 Year Supply Plan'!BM:BM)</f>
        <v>464.875</v>
      </c>
      <c r="DQ30" s="35">
        <f t="shared" si="58"/>
        <v>464.875</v>
      </c>
      <c r="DR30" s="35">
        <f>SUMIF('5 Year Supply Plan'!A:A,'JZ_BRAND SPLITS'!C30,'5 Year Supply Plan'!BN:BN)</f>
        <v>464.875</v>
      </c>
      <c r="DS30" s="35">
        <f t="shared" si="59"/>
        <v>464.875</v>
      </c>
      <c r="DT30" s="39">
        <f t="shared" si="60"/>
        <v>23773.700303000001</v>
      </c>
      <c r="DU30" s="36">
        <f>SUMIF('5 Year Supply Plan'!A:A,'JZ_BRAND SPLITS'!C30,'5 Year Supply Plan'!BO:BO)</f>
        <v>23773.700302999998</v>
      </c>
    </row>
    <row r="31" spans="1:125" x14ac:dyDescent="0.25">
      <c r="A31" s="40" t="s">
        <v>264</v>
      </c>
      <c r="B31" s="40" t="s">
        <v>257</v>
      </c>
      <c r="C31" s="40" t="s">
        <v>75</v>
      </c>
      <c r="D31" s="40" t="str">
        <f t="shared" si="0"/>
        <v>C04BCORPACK (MODIFIED)</v>
      </c>
      <c r="E31" s="41">
        <v>1</v>
      </c>
      <c r="F31" s="35">
        <f>SUMIF('5 Year Supply Plan'!A:A,'JZ_BRAND SPLITS'!C31,'5 Year Supply Plan'!H:H)</f>
        <v>154.09991500000001</v>
      </c>
      <c r="G31" s="35">
        <f t="shared" si="1"/>
        <v>154.09991500000001</v>
      </c>
      <c r="H31" s="35">
        <f>SUMIF('5 Year Supply Plan'!A:A,'JZ_BRAND SPLITS'!C31,'5 Year Supply Plan'!I:I)</f>
        <v>401.95379600000001</v>
      </c>
      <c r="I31" s="35">
        <f t="shared" si="2"/>
        <v>401.95379600000001</v>
      </c>
      <c r="J31" s="35">
        <f>SUMIF('5 Year Supply Plan'!A:A,'JZ_BRAND SPLITS'!C31,'5 Year Supply Plan'!J:J)</f>
        <v>325.14648399999999</v>
      </c>
      <c r="K31" s="35">
        <f t="shared" si="3"/>
        <v>325.14648399999999</v>
      </c>
      <c r="L31" s="35">
        <f>SUMIF('5 Year Supply Plan'!A:A,'JZ_BRAND SPLITS'!C31,'5 Year Supply Plan'!K:K)</f>
        <v>400</v>
      </c>
      <c r="M31" s="35">
        <f t="shared" si="4"/>
        <v>400</v>
      </c>
      <c r="N31" s="35">
        <f>SUMIF('5 Year Supply Plan'!A:A,'JZ_BRAND SPLITS'!C31,'5 Year Supply Plan'!L:L)</f>
        <v>507</v>
      </c>
      <c r="O31" s="35">
        <f t="shared" si="5"/>
        <v>507</v>
      </c>
      <c r="P31" s="35">
        <f>SUMIF('5 Year Supply Plan'!A:A,'JZ_BRAND SPLITS'!C31,'5 Year Supply Plan'!M:M)</f>
        <v>493</v>
      </c>
      <c r="Q31" s="35">
        <f t="shared" si="6"/>
        <v>493</v>
      </c>
      <c r="R31" s="35">
        <f>SUMIF('5 Year Supply Plan'!A:A,'JZ_BRAND SPLITS'!C31,'5 Year Supply Plan'!N:N)</f>
        <v>450</v>
      </c>
      <c r="S31" s="35">
        <f t="shared" si="7"/>
        <v>450</v>
      </c>
      <c r="T31" s="35">
        <f>SUMIF('5 Year Supply Plan'!A:A,'JZ_BRAND SPLITS'!C31,'5 Year Supply Plan'!O:O)</f>
        <v>400</v>
      </c>
      <c r="U31" s="35">
        <f t="shared" si="8"/>
        <v>400</v>
      </c>
      <c r="V31" s="35">
        <f>SUMIF('5 Year Supply Plan'!A:A,'JZ_BRAND SPLITS'!C31,'5 Year Supply Plan'!P:P)</f>
        <v>442</v>
      </c>
      <c r="W31" s="35">
        <f t="shared" si="9"/>
        <v>442</v>
      </c>
      <c r="X31" s="35">
        <f>SUMIF('5 Year Supply Plan'!A:A,'JZ_BRAND SPLITS'!C31,'5 Year Supply Plan'!Q:Q)</f>
        <v>302</v>
      </c>
      <c r="Y31" s="35">
        <f t="shared" si="10"/>
        <v>302</v>
      </c>
      <c r="Z31" s="35">
        <f>SUMIF('5 Year Supply Plan'!A:A,'JZ_BRAND SPLITS'!C31,'5 Year Supply Plan'!R:R)</f>
        <v>0</v>
      </c>
      <c r="AA31" s="35">
        <f t="shared" si="11"/>
        <v>0</v>
      </c>
      <c r="AB31" s="35">
        <f>SUMIF('5 Year Supply Plan'!A:A,'JZ_BRAND SPLITS'!C31,'5 Year Supply Plan'!S:S)</f>
        <v>0</v>
      </c>
      <c r="AC31" s="35">
        <f t="shared" si="12"/>
        <v>0</v>
      </c>
      <c r="AD31" s="35">
        <f>SUMIF('5 Year Supply Plan'!A:A,'JZ_BRAND SPLITS'!C31,'5 Year Supply Plan'!T:T)</f>
        <v>0</v>
      </c>
      <c r="AE31" s="35">
        <f t="shared" si="13"/>
        <v>0</v>
      </c>
      <c r="AF31" s="35">
        <f>SUMIF('5 Year Supply Plan'!A:A,'JZ_BRAND SPLITS'!C31,'5 Year Supply Plan'!U:U)</f>
        <v>0</v>
      </c>
      <c r="AG31" s="35">
        <f t="shared" si="14"/>
        <v>0</v>
      </c>
      <c r="AH31" s="35">
        <f>SUMIF('5 Year Supply Plan'!A:A,'JZ_BRAND SPLITS'!C31,'5 Year Supply Plan'!V:V)</f>
        <v>0</v>
      </c>
      <c r="AI31" s="35">
        <f t="shared" si="15"/>
        <v>0</v>
      </c>
      <c r="AJ31" s="35">
        <f>SUMIF('5 Year Supply Plan'!A:A,'JZ_BRAND SPLITS'!C31,'5 Year Supply Plan'!W:W)</f>
        <v>0</v>
      </c>
      <c r="AK31" s="35">
        <f t="shared" si="16"/>
        <v>0</v>
      </c>
      <c r="AL31" s="35">
        <f>SUMIF('5 Year Supply Plan'!A:A,'JZ_BRAND SPLITS'!C31,'5 Year Supply Plan'!X:X)</f>
        <v>0</v>
      </c>
      <c r="AM31" s="35">
        <f t="shared" si="17"/>
        <v>0</v>
      </c>
      <c r="AN31" s="35">
        <f>SUMIF('5 Year Supply Plan'!A:A,'JZ_BRAND SPLITS'!C31,'5 Year Supply Plan'!Y:Y)</f>
        <v>0</v>
      </c>
      <c r="AO31" s="35">
        <f t="shared" si="18"/>
        <v>0</v>
      </c>
      <c r="AP31" s="35">
        <f>SUMIF('5 Year Supply Plan'!A:A,'JZ_BRAND SPLITS'!C31,'5 Year Supply Plan'!Z:Z)</f>
        <v>0</v>
      </c>
      <c r="AQ31" s="35">
        <f t="shared" si="19"/>
        <v>0</v>
      </c>
      <c r="AR31" s="35">
        <f>SUMIF('5 Year Supply Plan'!A:A,'JZ_BRAND SPLITS'!C31,'5 Year Supply Plan'!AA:AA)</f>
        <v>0</v>
      </c>
      <c r="AS31" s="35">
        <f t="shared" si="20"/>
        <v>0</v>
      </c>
      <c r="AT31" s="35">
        <f>SUMIF('5 Year Supply Plan'!A:A,'JZ_BRAND SPLITS'!C31,'5 Year Supply Plan'!AB:AB)</f>
        <v>0</v>
      </c>
      <c r="AU31" s="35">
        <f t="shared" si="21"/>
        <v>0</v>
      </c>
      <c r="AV31" s="35">
        <f>SUMIF('5 Year Supply Plan'!A:A,'JZ_BRAND SPLITS'!C31,'5 Year Supply Plan'!AC:AC)</f>
        <v>0</v>
      </c>
      <c r="AW31" s="35">
        <f t="shared" si="22"/>
        <v>0</v>
      </c>
      <c r="AX31" s="35">
        <f>SUMIF('5 Year Supply Plan'!A:A,'JZ_BRAND SPLITS'!C31,'5 Year Supply Plan'!AD:AD)</f>
        <v>0</v>
      </c>
      <c r="AY31" s="35">
        <f t="shared" si="23"/>
        <v>0</v>
      </c>
      <c r="AZ31" s="35">
        <f>SUMIF('5 Year Supply Plan'!A:A,'JZ_BRAND SPLITS'!C31,'5 Year Supply Plan'!AE:AE)</f>
        <v>0</v>
      </c>
      <c r="BA31" s="35">
        <f t="shared" si="24"/>
        <v>0</v>
      </c>
      <c r="BB31" s="35">
        <f>SUMIF('5 Year Supply Plan'!A:A,'JZ_BRAND SPLITS'!C31,'5 Year Supply Plan'!AF:AF)</f>
        <v>0</v>
      </c>
      <c r="BC31" s="35">
        <f t="shared" si="25"/>
        <v>0</v>
      </c>
      <c r="BD31" s="35">
        <f>SUMIF('5 Year Supply Plan'!A:A,'JZ_BRAND SPLITS'!C31,'5 Year Supply Plan'!AG:AG)</f>
        <v>0</v>
      </c>
      <c r="BE31" s="35">
        <f t="shared" si="26"/>
        <v>0</v>
      </c>
      <c r="BF31" s="35">
        <f>SUMIF('5 Year Supply Plan'!A:A,'JZ_BRAND SPLITS'!C31,'5 Year Supply Plan'!AH:AH)</f>
        <v>0</v>
      </c>
      <c r="BG31" s="35">
        <f t="shared" si="27"/>
        <v>0</v>
      </c>
      <c r="BH31" s="35">
        <f>SUMIF('5 Year Supply Plan'!A:A,'JZ_BRAND SPLITS'!C31,'5 Year Supply Plan'!AI:AI)</f>
        <v>0</v>
      </c>
      <c r="BI31" s="35">
        <f t="shared" si="28"/>
        <v>0</v>
      </c>
      <c r="BJ31" s="35">
        <f>SUMIF('5 Year Supply Plan'!A:A,'JZ_BRAND SPLITS'!C31,'5 Year Supply Plan'!AJ:AJ)</f>
        <v>0</v>
      </c>
      <c r="BK31" s="35">
        <f t="shared" si="29"/>
        <v>0</v>
      </c>
      <c r="BL31" s="35">
        <f>SUMIF('5 Year Supply Plan'!A:A,'JZ_BRAND SPLITS'!C31,'5 Year Supply Plan'!AK:AK)</f>
        <v>0</v>
      </c>
      <c r="BM31" s="35">
        <f t="shared" si="30"/>
        <v>0</v>
      </c>
      <c r="BN31" s="35">
        <f>SUMIF('5 Year Supply Plan'!A:A,'JZ_BRAND SPLITS'!C31,'5 Year Supply Plan'!AL:AL)</f>
        <v>0</v>
      </c>
      <c r="BO31" s="35">
        <f t="shared" si="31"/>
        <v>0</v>
      </c>
      <c r="BP31" s="35">
        <f>SUMIF('5 Year Supply Plan'!A:A,'JZ_BRAND SPLITS'!C31,'5 Year Supply Plan'!AM:AM)</f>
        <v>0</v>
      </c>
      <c r="BQ31" s="35">
        <f t="shared" si="32"/>
        <v>0</v>
      </c>
      <c r="BR31" s="35">
        <f>SUMIF('5 Year Supply Plan'!A:A,'JZ_BRAND SPLITS'!C31,'5 Year Supply Plan'!AN:AN)</f>
        <v>0</v>
      </c>
      <c r="BS31" s="35">
        <f t="shared" si="33"/>
        <v>0</v>
      </c>
      <c r="BT31" s="35">
        <f>SUMIF('5 Year Supply Plan'!A:A,'JZ_BRAND SPLITS'!C31,'5 Year Supply Plan'!AO:AO)</f>
        <v>0</v>
      </c>
      <c r="BU31" s="35">
        <f t="shared" si="34"/>
        <v>0</v>
      </c>
      <c r="BV31" s="35">
        <f>SUMIF('5 Year Supply Plan'!A:A,'JZ_BRAND SPLITS'!C31,'5 Year Supply Plan'!AP:AP)</f>
        <v>0</v>
      </c>
      <c r="BW31" s="35">
        <f t="shared" si="35"/>
        <v>0</v>
      </c>
      <c r="BX31" s="35">
        <f>SUMIF('5 Year Supply Plan'!A:A,'JZ_BRAND SPLITS'!C31,'5 Year Supply Plan'!AQ:AQ)</f>
        <v>0</v>
      </c>
      <c r="BY31" s="35">
        <f t="shared" si="36"/>
        <v>0</v>
      </c>
      <c r="BZ31" s="35">
        <f>SUMIF('5 Year Supply Plan'!A:A,'JZ_BRAND SPLITS'!C31,'5 Year Supply Plan'!AR:AR)</f>
        <v>0</v>
      </c>
      <c r="CA31" s="35">
        <f t="shared" si="37"/>
        <v>0</v>
      </c>
      <c r="CB31" s="35">
        <f>SUMIF('5 Year Supply Plan'!A:A,'JZ_BRAND SPLITS'!C31,'5 Year Supply Plan'!AS:AS)</f>
        <v>0</v>
      </c>
      <c r="CC31" s="35">
        <f t="shared" si="38"/>
        <v>0</v>
      </c>
      <c r="CD31" s="35">
        <f>SUMIF('5 Year Supply Plan'!A:A,'JZ_BRAND SPLITS'!C31,'5 Year Supply Plan'!AT:AT)</f>
        <v>0</v>
      </c>
      <c r="CE31" s="35">
        <f t="shared" si="39"/>
        <v>0</v>
      </c>
      <c r="CF31" s="35">
        <f>SUMIF('5 Year Supply Plan'!A:A,'JZ_BRAND SPLITS'!C31,'5 Year Supply Plan'!AU:AU)</f>
        <v>0</v>
      </c>
      <c r="CG31" s="35">
        <f t="shared" si="40"/>
        <v>0</v>
      </c>
      <c r="CH31" s="35">
        <f>SUMIF('5 Year Supply Plan'!A:A,'JZ_BRAND SPLITS'!C31,'5 Year Supply Plan'!AV:AV)</f>
        <v>0</v>
      </c>
      <c r="CI31" s="35">
        <f t="shared" si="41"/>
        <v>0</v>
      </c>
      <c r="CJ31" s="35">
        <f>SUMIF('5 Year Supply Plan'!A:A,'JZ_BRAND SPLITS'!C31,'5 Year Supply Plan'!AW:AW)</f>
        <v>0</v>
      </c>
      <c r="CK31" s="35">
        <f t="shared" si="42"/>
        <v>0</v>
      </c>
      <c r="CL31" s="35">
        <f>SUMIF('5 Year Supply Plan'!A:A,'JZ_BRAND SPLITS'!C31,'5 Year Supply Plan'!AX:AX)</f>
        <v>0</v>
      </c>
      <c r="CM31" s="35">
        <f t="shared" si="43"/>
        <v>0</v>
      </c>
      <c r="CN31" s="35">
        <f>SUMIF('5 Year Supply Plan'!A:A,'JZ_BRAND SPLITS'!C31,'5 Year Supply Plan'!AY:AY)</f>
        <v>0</v>
      </c>
      <c r="CO31" s="35">
        <f t="shared" si="44"/>
        <v>0</v>
      </c>
      <c r="CP31" s="35">
        <f>SUMIF('5 Year Supply Plan'!A:A,'JZ_BRAND SPLITS'!C31,'5 Year Supply Plan'!AZ:AZ)</f>
        <v>0</v>
      </c>
      <c r="CQ31" s="35">
        <f t="shared" si="45"/>
        <v>0</v>
      </c>
      <c r="CR31" s="35">
        <f>SUMIF('5 Year Supply Plan'!A:A,'JZ_BRAND SPLITS'!C31,'5 Year Supply Plan'!BA:BA)</f>
        <v>0</v>
      </c>
      <c r="CS31" s="35">
        <f t="shared" si="46"/>
        <v>0</v>
      </c>
      <c r="CT31" s="35">
        <f>SUMIF('5 Year Supply Plan'!A:A,'JZ_BRAND SPLITS'!C31,'5 Year Supply Plan'!BB:BB)</f>
        <v>0</v>
      </c>
      <c r="CU31" s="35">
        <f t="shared" si="47"/>
        <v>0</v>
      </c>
      <c r="CV31" s="35">
        <f>SUMIF('5 Year Supply Plan'!A:A,'JZ_BRAND SPLITS'!C31,'5 Year Supply Plan'!BC:BC)</f>
        <v>0</v>
      </c>
      <c r="CW31" s="35">
        <f t="shared" si="48"/>
        <v>0</v>
      </c>
      <c r="CX31" s="35">
        <f>SUMIF('5 Year Supply Plan'!A:A,'JZ_BRAND SPLITS'!C31,'5 Year Supply Plan'!BD:BD)</f>
        <v>0</v>
      </c>
      <c r="CY31" s="35">
        <f t="shared" si="49"/>
        <v>0</v>
      </c>
      <c r="CZ31" s="35">
        <f>SUMIF('5 Year Supply Plan'!A:A,'JZ_BRAND SPLITS'!C31,'5 Year Supply Plan'!BE:BE)</f>
        <v>0</v>
      </c>
      <c r="DA31" s="35">
        <f t="shared" si="50"/>
        <v>0</v>
      </c>
      <c r="DB31" s="35">
        <f>SUMIF('5 Year Supply Plan'!A:A,'JZ_BRAND SPLITS'!C31,'5 Year Supply Plan'!BF:BF)</f>
        <v>0</v>
      </c>
      <c r="DC31" s="35">
        <f t="shared" si="51"/>
        <v>0</v>
      </c>
      <c r="DD31" s="35">
        <f>SUMIF('5 Year Supply Plan'!A:A,'JZ_BRAND SPLITS'!C31,'5 Year Supply Plan'!BG:BG)</f>
        <v>0</v>
      </c>
      <c r="DE31" s="35">
        <f t="shared" si="52"/>
        <v>0</v>
      </c>
      <c r="DF31" s="35">
        <f>SUMIF('5 Year Supply Plan'!A:A,'JZ_BRAND SPLITS'!C31,'5 Year Supply Plan'!BH:BH)</f>
        <v>0</v>
      </c>
      <c r="DG31" s="35">
        <f t="shared" si="53"/>
        <v>0</v>
      </c>
      <c r="DH31" s="35">
        <f>SUMIF('5 Year Supply Plan'!A:A,'JZ_BRAND SPLITS'!C31,'5 Year Supply Plan'!BI:BI)</f>
        <v>0</v>
      </c>
      <c r="DI31" s="35">
        <f t="shared" si="54"/>
        <v>0</v>
      </c>
      <c r="DJ31" s="35">
        <f>SUMIF('5 Year Supply Plan'!A:A,'JZ_BRAND SPLITS'!C31,'5 Year Supply Plan'!BJ:BJ)</f>
        <v>86</v>
      </c>
      <c r="DK31" s="35">
        <f t="shared" si="55"/>
        <v>86</v>
      </c>
      <c r="DL31" s="35">
        <f>SUMIF('5 Year Supply Plan'!A:A,'JZ_BRAND SPLITS'!C31,'5 Year Supply Plan'!BK:BK)</f>
        <v>305</v>
      </c>
      <c r="DM31" s="35">
        <f t="shared" si="56"/>
        <v>305</v>
      </c>
      <c r="DN31" s="42">
        <f>SUMIF('5 Year Supply Plan'!A:A,'JZ_BRAND SPLITS'!C31,'5 Year Supply Plan'!BL:BL)</f>
        <v>535</v>
      </c>
      <c r="DO31" s="35">
        <f t="shared" si="57"/>
        <v>535</v>
      </c>
      <c r="DP31" s="35">
        <f>SUMIF('5 Year Supply Plan'!A:A,'JZ_BRAND SPLITS'!C31,'5 Year Supply Plan'!BM:BM)</f>
        <v>0</v>
      </c>
      <c r="DQ31" s="35">
        <f t="shared" si="58"/>
        <v>0</v>
      </c>
      <c r="DR31" s="35">
        <f>SUMIF('5 Year Supply Plan'!A:A,'JZ_BRAND SPLITS'!C31,'5 Year Supply Plan'!BN:BN)</f>
        <v>0</v>
      </c>
      <c r="DS31" s="35">
        <f t="shared" si="59"/>
        <v>0</v>
      </c>
      <c r="DT31" s="39">
        <f t="shared" si="60"/>
        <v>4801.2001949999994</v>
      </c>
      <c r="DU31" s="36">
        <f>SUMIF('5 Year Supply Plan'!A:A,'JZ_BRAND SPLITS'!C31,'5 Year Supply Plan'!BO:BO)</f>
        <v>4801.2001949999994</v>
      </c>
    </row>
    <row r="32" spans="1:125" x14ac:dyDescent="0.25">
      <c r="A32" s="40" t="s">
        <v>264</v>
      </c>
      <c r="B32" s="40" t="s">
        <v>257</v>
      </c>
      <c r="C32" s="40" t="s">
        <v>86</v>
      </c>
      <c r="D32" s="40" t="str">
        <f t="shared" si="0"/>
        <v>C04BMULTIPACK (MODIFIED)</v>
      </c>
      <c r="E32" s="41">
        <v>1</v>
      </c>
      <c r="F32" s="35">
        <f>SUMIF('5 Year Supply Plan'!A:A,'JZ_BRAND SPLITS'!C32,'5 Year Supply Plan'!H:H)</f>
        <v>10732.130859000001</v>
      </c>
      <c r="G32" s="35">
        <f t="shared" si="1"/>
        <v>10732.130859000001</v>
      </c>
      <c r="H32" s="35">
        <f>SUMIF('5 Year Supply Plan'!A:A,'JZ_BRAND SPLITS'!C32,'5 Year Supply Plan'!I:I)</f>
        <v>11784.523438</v>
      </c>
      <c r="I32" s="35">
        <f t="shared" si="2"/>
        <v>11784.523438</v>
      </c>
      <c r="J32" s="35">
        <f>SUMIF('5 Year Supply Plan'!A:A,'JZ_BRAND SPLITS'!C32,'5 Year Supply Plan'!J:J)</f>
        <v>9860.8105469999991</v>
      </c>
      <c r="K32" s="35">
        <f t="shared" si="3"/>
        <v>9860.8105469999991</v>
      </c>
      <c r="L32" s="35">
        <f>SUMIF('5 Year Supply Plan'!A:A,'JZ_BRAND SPLITS'!C32,'5 Year Supply Plan'!K:K)</f>
        <v>11325</v>
      </c>
      <c r="M32" s="35">
        <f t="shared" si="4"/>
        <v>11325</v>
      </c>
      <c r="N32" s="35">
        <f>SUMIF('5 Year Supply Plan'!A:A,'JZ_BRAND SPLITS'!C32,'5 Year Supply Plan'!L:L)</f>
        <v>5876</v>
      </c>
      <c r="O32" s="35">
        <f t="shared" si="5"/>
        <v>5876</v>
      </c>
      <c r="P32" s="35">
        <f>SUMIF('5 Year Supply Plan'!A:A,'JZ_BRAND SPLITS'!C32,'5 Year Supply Plan'!M:M)</f>
        <v>10311</v>
      </c>
      <c r="Q32" s="35">
        <f t="shared" si="6"/>
        <v>10311</v>
      </c>
      <c r="R32" s="35">
        <f>SUMIF('5 Year Supply Plan'!A:A,'JZ_BRAND SPLITS'!C32,'5 Year Supply Plan'!N:N)</f>
        <v>8748</v>
      </c>
      <c r="S32" s="35">
        <f t="shared" si="7"/>
        <v>8748</v>
      </c>
      <c r="T32" s="35">
        <f>SUMIF('5 Year Supply Plan'!A:A,'JZ_BRAND SPLITS'!C32,'5 Year Supply Plan'!O:O)</f>
        <v>6588</v>
      </c>
      <c r="U32" s="35">
        <f t="shared" si="8"/>
        <v>6588</v>
      </c>
      <c r="V32" s="35">
        <f>SUMIF('5 Year Supply Plan'!A:A,'JZ_BRAND SPLITS'!C32,'5 Year Supply Plan'!P:P)</f>
        <v>3875</v>
      </c>
      <c r="W32" s="35">
        <f t="shared" si="9"/>
        <v>3875</v>
      </c>
      <c r="X32" s="35">
        <f>SUMIF('5 Year Supply Plan'!A:A,'JZ_BRAND SPLITS'!C32,'5 Year Supply Plan'!Q:Q)</f>
        <v>3027</v>
      </c>
      <c r="Y32" s="35">
        <f t="shared" si="10"/>
        <v>3027</v>
      </c>
      <c r="Z32" s="35">
        <f>SUMIF('5 Year Supply Plan'!A:A,'JZ_BRAND SPLITS'!C32,'5 Year Supply Plan'!R:R)</f>
        <v>2756</v>
      </c>
      <c r="AA32" s="35">
        <f t="shared" si="11"/>
        <v>2756</v>
      </c>
      <c r="AB32" s="35">
        <f>SUMIF('5 Year Supply Plan'!A:A,'JZ_BRAND SPLITS'!C32,'5 Year Supply Plan'!S:S)</f>
        <v>3086</v>
      </c>
      <c r="AC32" s="35">
        <f t="shared" si="12"/>
        <v>3086</v>
      </c>
      <c r="AD32" s="35">
        <f>SUMIF('5 Year Supply Plan'!A:A,'JZ_BRAND SPLITS'!C32,'5 Year Supply Plan'!T:T)</f>
        <v>3147</v>
      </c>
      <c r="AE32" s="35">
        <f t="shared" si="13"/>
        <v>3147</v>
      </c>
      <c r="AF32" s="35">
        <f>SUMIF('5 Year Supply Plan'!A:A,'JZ_BRAND SPLITS'!C32,'5 Year Supply Plan'!U:U)</f>
        <v>2351</v>
      </c>
      <c r="AG32" s="35">
        <f t="shared" si="14"/>
        <v>2351</v>
      </c>
      <c r="AH32" s="35">
        <f>SUMIF('5 Year Supply Plan'!A:A,'JZ_BRAND SPLITS'!C32,'5 Year Supply Plan'!V:V)</f>
        <v>2859</v>
      </c>
      <c r="AI32" s="35">
        <f t="shared" si="15"/>
        <v>2859</v>
      </c>
      <c r="AJ32" s="35">
        <f>SUMIF('5 Year Supply Plan'!A:A,'JZ_BRAND SPLITS'!C32,'5 Year Supply Plan'!W:W)</f>
        <v>2600</v>
      </c>
      <c r="AK32" s="35">
        <f t="shared" si="16"/>
        <v>2600</v>
      </c>
      <c r="AL32" s="35">
        <f>SUMIF('5 Year Supply Plan'!A:A,'JZ_BRAND SPLITS'!C32,'5 Year Supply Plan'!X:X)</f>
        <v>3077</v>
      </c>
      <c r="AM32" s="35">
        <f t="shared" si="17"/>
        <v>3077</v>
      </c>
      <c r="AN32" s="35">
        <f>SUMIF('5 Year Supply Plan'!A:A,'JZ_BRAND SPLITS'!C32,'5 Year Supply Plan'!Y:Y)</f>
        <v>3817</v>
      </c>
      <c r="AO32" s="35">
        <f t="shared" si="18"/>
        <v>3817</v>
      </c>
      <c r="AP32" s="35">
        <f>SUMIF('5 Year Supply Plan'!A:A,'JZ_BRAND SPLITS'!C32,'5 Year Supply Plan'!Z:Z)</f>
        <v>3302</v>
      </c>
      <c r="AQ32" s="35">
        <f t="shared" si="19"/>
        <v>3302</v>
      </c>
      <c r="AR32" s="35">
        <f>SUMIF('5 Year Supply Plan'!A:A,'JZ_BRAND SPLITS'!C32,'5 Year Supply Plan'!AA:AA)</f>
        <v>3550</v>
      </c>
      <c r="AS32" s="35">
        <f t="shared" si="20"/>
        <v>3550</v>
      </c>
      <c r="AT32" s="35">
        <f>SUMIF('5 Year Supply Plan'!A:A,'JZ_BRAND SPLITS'!C32,'5 Year Supply Plan'!AB:AB)</f>
        <v>3926</v>
      </c>
      <c r="AU32" s="35">
        <f t="shared" si="21"/>
        <v>3926</v>
      </c>
      <c r="AV32" s="35">
        <f>SUMIF('5 Year Supply Plan'!A:A,'JZ_BRAND SPLITS'!C32,'5 Year Supply Plan'!AC:AC)</f>
        <v>3269</v>
      </c>
      <c r="AW32" s="35">
        <f t="shared" si="22"/>
        <v>3269</v>
      </c>
      <c r="AX32" s="35">
        <f>SUMIF('5 Year Supply Plan'!A:A,'JZ_BRAND SPLITS'!C32,'5 Year Supply Plan'!AD:AD)</f>
        <v>2977</v>
      </c>
      <c r="AY32" s="35">
        <f t="shared" si="23"/>
        <v>2977</v>
      </c>
      <c r="AZ32" s="35">
        <f>SUMIF('5 Year Supply Plan'!A:A,'JZ_BRAND SPLITS'!C32,'5 Year Supply Plan'!AE:AE)</f>
        <v>3333</v>
      </c>
      <c r="BA32" s="35">
        <f t="shared" si="24"/>
        <v>3333</v>
      </c>
      <c r="BB32" s="35">
        <f>SUMIF('5 Year Supply Plan'!A:A,'JZ_BRAND SPLITS'!C32,'5 Year Supply Plan'!AF:AF)</f>
        <v>3399</v>
      </c>
      <c r="BC32" s="35">
        <f t="shared" si="25"/>
        <v>3399</v>
      </c>
      <c r="BD32" s="35">
        <f>SUMIF('5 Year Supply Plan'!A:A,'JZ_BRAND SPLITS'!C32,'5 Year Supply Plan'!AG:AG)</f>
        <v>2539</v>
      </c>
      <c r="BE32" s="35">
        <f t="shared" si="26"/>
        <v>2539</v>
      </c>
      <c r="BF32" s="35">
        <f>SUMIF('5 Year Supply Plan'!A:A,'JZ_BRAND SPLITS'!C32,'5 Year Supply Plan'!AH:AH)</f>
        <v>3086</v>
      </c>
      <c r="BG32" s="35">
        <f t="shared" si="27"/>
        <v>3086</v>
      </c>
      <c r="BH32" s="35">
        <f>SUMIF('5 Year Supply Plan'!A:A,'JZ_BRAND SPLITS'!C32,'5 Year Supply Plan'!AI:AI)</f>
        <v>2808</v>
      </c>
      <c r="BI32" s="35">
        <f t="shared" si="28"/>
        <v>2808</v>
      </c>
      <c r="BJ32" s="35">
        <f>SUMIF('5 Year Supply Plan'!A:A,'JZ_BRAND SPLITS'!C32,'5 Year Supply Plan'!AJ:AJ)</f>
        <v>3324</v>
      </c>
      <c r="BK32" s="35">
        <f t="shared" si="29"/>
        <v>3324</v>
      </c>
      <c r="BL32" s="35">
        <f>SUMIF('5 Year Supply Plan'!A:A,'JZ_BRAND SPLITS'!C32,'5 Year Supply Plan'!AK:AK)</f>
        <v>4123</v>
      </c>
      <c r="BM32" s="35">
        <f t="shared" si="30"/>
        <v>4123</v>
      </c>
      <c r="BN32" s="35">
        <f>SUMIF('5 Year Supply Plan'!A:A,'JZ_BRAND SPLITS'!C32,'5 Year Supply Plan'!AL:AL)</f>
        <v>3566</v>
      </c>
      <c r="BO32" s="35">
        <f t="shared" si="31"/>
        <v>3566</v>
      </c>
      <c r="BP32" s="35">
        <f>SUMIF('5 Year Supply Plan'!A:A,'JZ_BRAND SPLITS'!C32,'5 Year Supply Plan'!AM:AM)</f>
        <v>3834</v>
      </c>
      <c r="BQ32" s="35">
        <f t="shared" si="32"/>
        <v>3834</v>
      </c>
      <c r="BR32" s="35">
        <f>SUMIF('5 Year Supply Plan'!A:A,'JZ_BRAND SPLITS'!C32,'5 Year Supply Plan'!AN:AN)</f>
        <v>4236</v>
      </c>
      <c r="BS32" s="35">
        <f t="shared" si="33"/>
        <v>4236</v>
      </c>
      <c r="BT32" s="35">
        <f>SUMIF('5 Year Supply Plan'!A:A,'JZ_BRAND SPLITS'!C32,'5 Year Supply Plan'!AO:AO)</f>
        <v>3515</v>
      </c>
      <c r="BU32" s="35">
        <f t="shared" si="34"/>
        <v>3515</v>
      </c>
      <c r="BV32" s="35">
        <f>SUMIF('5 Year Supply Plan'!A:A,'JZ_BRAND SPLITS'!C32,'5 Year Supply Plan'!AP:AP)</f>
        <v>3200</v>
      </c>
      <c r="BW32" s="35">
        <f t="shared" si="35"/>
        <v>3200</v>
      </c>
      <c r="BX32" s="35">
        <f>SUMIF('5 Year Supply Plan'!A:A,'JZ_BRAND SPLITS'!C32,'5 Year Supply Plan'!AQ:AQ)</f>
        <v>3583</v>
      </c>
      <c r="BY32" s="35">
        <f t="shared" si="36"/>
        <v>3583</v>
      </c>
      <c r="BZ32" s="35">
        <f>SUMIF('5 Year Supply Plan'!A:A,'JZ_BRAND SPLITS'!C32,'5 Year Supply Plan'!AR:AR)</f>
        <v>3653</v>
      </c>
      <c r="CA32" s="35">
        <f t="shared" si="37"/>
        <v>3653</v>
      </c>
      <c r="CB32" s="35">
        <f>SUMIF('5 Year Supply Plan'!A:A,'JZ_BRAND SPLITS'!C32,'5 Year Supply Plan'!AS:AS)</f>
        <v>2729</v>
      </c>
      <c r="CC32" s="35">
        <f t="shared" si="38"/>
        <v>2729</v>
      </c>
      <c r="CD32" s="35">
        <f>SUMIF('5 Year Supply Plan'!A:A,'JZ_BRAND SPLITS'!C32,'5 Year Supply Plan'!AT:AT)</f>
        <v>3317</v>
      </c>
      <c r="CE32" s="35">
        <f t="shared" si="39"/>
        <v>3317</v>
      </c>
      <c r="CF32" s="35">
        <f>SUMIF('5 Year Supply Plan'!A:A,'JZ_BRAND SPLITS'!C32,'5 Year Supply Plan'!AU:AU)</f>
        <v>3019</v>
      </c>
      <c r="CG32" s="35">
        <f t="shared" si="40"/>
        <v>3019</v>
      </c>
      <c r="CH32" s="35">
        <f>SUMIF('5 Year Supply Plan'!A:A,'JZ_BRAND SPLITS'!C32,'5 Year Supply Plan'!AV:AV)</f>
        <v>3574</v>
      </c>
      <c r="CI32" s="35">
        <f t="shared" si="41"/>
        <v>3574</v>
      </c>
      <c r="CJ32" s="35">
        <f>SUMIF('5 Year Supply Plan'!A:A,'JZ_BRAND SPLITS'!C32,'5 Year Supply Plan'!AW:AW)</f>
        <v>4431</v>
      </c>
      <c r="CK32" s="35">
        <f t="shared" si="42"/>
        <v>4431</v>
      </c>
      <c r="CL32" s="35">
        <f>SUMIF('5 Year Supply Plan'!A:A,'JZ_BRAND SPLITS'!C32,'5 Year Supply Plan'!AX:AX)</f>
        <v>3834</v>
      </c>
      <c r="CM32" s="35">
        <f t="shared" si="43"/>
        <v>3834</v>
      </c>
      <c r="CN32" s="35">
        <f>SUMIF('5 Year Supply Plan'!A:A,'JZ_BRAND SPLITS'!C32,'5 Year Supply Plan'!AY:AY)</f>
        <v>4123</v>
      </c>
      <c r="CO32" s="35">
        <f t="shared" si="44"/>
        <v>4123</v>
      </c>
      <c r="CP32" s="35">
        <f>SUMIF('5 Year Supply Plan'!A:A,'JZ_BRAND SPLITS'!C32,'5 Year Supply Plan'!AZ:AZ)</f>
        <v>4557</v>
      </c>
      <c r="CQ32" s="35">
        <f t="shared" si="45"/>
        <v>4557</v>
      </c>
      <c r="CR32" s="35">
        <f>SUMIF('5 Year Supply Plan'!A:A,'JZ_BRAND SPLITS'!C32,'5 Year Supply Plan'!BA:BA)</f>
        <v>3794</v>
      </c>
      <c r="CS32" s="35">
        <f t="shared" si="46"/>
        <v>3794</v>
      </c>
      <c r="CT32" s="35">
        <f>SUMIF('5 Year Supply Plan'!A:A,'JZ_BRAND SPLITS'!C32,'5 Year Supply Plan'!BB:BB)</f>
        <v>3459</v>
      </c>
      <c r="CU32" s="35">
        <f t="shared" si="47"/>
        <v>3459</v>
      </c>
      <c r="CV32" s="35">
        <f>SUMIF('5 Year Supply Plan'!A:A,'JZ_BRAND SPLITS'!C32,'5 Year Supply Plan'!BC:BC)</f>
        <v>3869</v>
      </c>
      <c r="CW32" s="35">
        <f t="shared" si="48"/>
        <v>3869</v>
      </c>
      <c r="CX32" s="35">
        <f>SUMIF('5 Year Supply Plan'!A:A,'JZ_BRAND SPLITS'!C32,'5 Year Supply Plan'!BD:BD)</f>
        <v>3944</v>
      </c>
      <c r="CY32" s="35">
        <f t="shared" si="49"/>
        <v>3944</v>
      </c>
      <c r="CZ32" s="35">
        <f>SUMIF('5 Year Supply Plan'!A:A,'JZ_BRAND SPLITS'!C32,'5 Year Supply Plan'!BE:BE)</f>
        <v>2949</v>
      </c>
      <c r="DA32" s="35">
        <f t="shared" si="50"/>
        <v>2949</v>
      </c>
      <c r="DB32" s="35">
        <f>SUMIF('5 Year Supply Plan'!A:A,'JZ_BRAND SPLITS'!C32,'5 Year Supply Plan'!BF:BF)</f>
        <v>3584</v>
      </c>
      <c r="DC32" s="35">
        <f t="shared" si="51"/>
        <v>3584</v>
      </c>
      <c r="DD32" s="35">
        <f>SUMIF('5 Year Supply Plan'!A:A,'JZ_BRAND SPLITS'!C32,'5 Year Supply Plan'!BG:BG)</f>
        <v>3259</v>
      </c>
      <c r="DE32" s="35">
        <f t="shared" si="52"/>
        <v>3259</v>
      </c>
      <c r="DF32" s="35">
        <f>SUMIF('5 Year Supply Plan'!A:A,'JZ_BRAND SPLITS'!C32,'5 Year Supply Plan'!BH:BH)</f>
        <v>3859</v>
      </c>
      <c r="DG32" s="35">
        <f t="shared" si="53"/>
        <v>3859</v>
      </c>
      <c r="DH32" s="35">
        <f>SUMIF('5 Year Supply Plan'!A:A,'JZ_BRAND SPLITS'!C32,'5 Year Supply Plan'!BI:BI)</f>
        <v>4787</v>
      </c>
      <c r="DI32" s="35">
        <f t="shared" si="54"/>
        <v>4787</v>
      </c>
      <c r="DJ32" s="35">
        <f>SUMIF('5 Year Supply Plan'!A:A,'JZ_BRAND SPLITS'!C32,'5 Year Supply Plan'!BJ:BJ)</f>
        <v>5047</v>
      </c>
      <c r="DK32" s="35">
        <f t="shared" si="55"/>
        <v>5047</v>
      </c>
      <c r="DL32" s="35">
        <f>SUMIF('5 Year Supply Plan'!A:A,'JZ_BRAND SPLITS'!C32,'5 Year Supply Plan'!BK:BK)</f>
        <v>8349</v>
      </c>
      <c r="DM32" s="35">
        <f t="shared" si="56"/>
        <v>8349</v>
      </c>
      <c r="DN32" s="42">
        <f>SUMIF('5 Year Supply Plan'!A:A,'JZ_BRAND SPLITS'!C32,'5 Year Supply Plan'!BL:BL)</f>
        <v>12351</v>
      </c>
      <c r="DO32" s="35">
        <f t="shared" si="57"/>
        <v>12351</v>
      </c>
      <c r="DP32" s="35">
        <f>SUMIF('5 Year Supply Plan'!A:A,'JZ_BRAND SPLITS'!C32,'5 Year Supply Plan'!BM:BM)</f>
        <v>4472.25</v>
      </c>
      <c r="DQ32" s="35">
        <f t="shared" si="58"/>
        <v>4472.25</v>
      </c>
      <c r="DR32" s="35">
        <f>SUMIF('5 Year Supply Plan'!A:A,'JZ_BRAND SPLITS'!C32,'5 Year Supply Plan'!BN:BN)</f>
        <v>4472.25</v>
      </c>
      <c r="DS32" s="35">
        <f t="shared" si="59"/>
        <v>4472.25</v>
      </c>
      <c r="DT32" s="39">
        <f t="shared" si="60"/>
        <v>268822.964844</v>
      </c>
      <c r="DU32" s="36">
        <f>SUMIF('5 Year Supply Plan'!A:A,'JZ_BRAND SPLITS'!C32,'5 Year Supply Plan'!BO:BO)</f>
        <v>268822.964844</v>
      </c>
    </row>
    <row r="33" spans="1:125" x14ac:dyDescent="0.25">
      <c r="A33" s="40" t="s">
        <v>264</v>
      </c>
      <c r="B33" s="40" t="s">
        <v>257</v>
      </c>
      <c r="C33" s="40" t="s">
        <v>265</v>
      </c>
      <c r="D33" s="40" t="str">
        <f t="shared" si="0"/>
        <v>C04BPRIMOPAC (MODIFIED)</v>
      </c>
      <c r="E33" s="41">
        <v>0</v>
      </c>
      <c r="F33" s="35">
        <f>SUMIF('5 Year Supply Plan'!A:A,'JZ_BRAND SPLITS'!C33,'5 Year Supply Plan'!H:H)</f>
        <v>0</v>
      </c>
      <c r="G33" s="35">
        <f t="shared" si="1"/>
        <v>0</v>
      </c>
      <c r="H33" s="35">
        <f>SUMIF('5 Year Supply Plan'!A:A,'JZ_BRAND SPLITS'!C33,'5 Year Supply Plan'!I:I)</f>
        <v>0</v>
      </c>
      <c r="I33" s="35">
        <f t="shared" si="2"/>
        <v>0</v>
      </c>
      <c r="J33" s="35">
        <f>SUMIF('5 Year Supply Plan'!A:A,'JZ_BRAND SPLITS'!C33,'5 Year Supply Plan'!J:J)</f>
        <v>0</v>
      </c>
      <c r="K33" s="35">
        <f t="shared" si="3"/>
        <v>0</v>
      </c>
      <c r="L33" s="35">
        <f>SUMIF('5 Year Supply Plan'!A:A,'JZ_BRAND SPLITS'!C33,'5 Year Supply Plan'!K:K)</f>
        <v>0</v>
      </c>
      <c r="M33" s="35">
        <f t="shared" si="4"/>
        <v>0</v>
      </c>
      <c r="N33" s="35">
        <f>SUMIF('5 Year Supply Plan'!A:A,'JZ_BRAND SPLITS'!C33,'5 Year Supply Plan'!L:L)</f>
        <v>0</v>
      </c>
      <c r="O33" s="35">
        <f t="shared" si="5"/>
        <v>0</v>
      </c>
      <c r="P33" s="35">
        <f>SUMIF('5 Year Supply Plan'!A:A,'JZ_BRAND SPLITS'!C33,'5 Year Supply Plan'!M:M)</f>
        <v>0</v>
      </c>
      <c r="Q33" s="35">
        <f t="shared" si="6"/>
        <v>0</v>
      </c>
      <c r="R33" s="35">
        <f>SUMIF('5 Year Supply Plan'!A:A,'JZ_BRAND SPLITS'!C33,'5 Year Supply Plan'!N:N)</f>
        <v>0</v>
      </c>
      <c r="S33" s="35">
        <f t="shared" si="7"/>
        <v>0</v>
      </c>
      <c r="T33" s="35">
        <f>SUMIF('5 Year Supply Plan'!A:A,'JZ_BRAND SPLITS'!C33,'5 Year Supply Plan'!O:O)</f>
        <v>0</v>
      </c>
      <c r="U33" s="35">
        <f t="shared" si="8"/>
        <v>0</v>
      </c>
      <c r="V33" s="35">
        <f>SUMIF('5 Year Supply Plan'!A:A,'JZ_BRAND SPLITS'!C33,'5 Year Supply Plan'!P:P)</f>
        <v>0</v>
      </c>
      <c r="W33" s="35">
        <f t="shared" si="9"/>
        <v>0</v>
      </c>
      <c r="X33" s="35">
        <f>SUMIF('5 Year Supply Plan'!A:A,'JZ_BRAND SPLITS'!C33,'5 Year Supply Plan'!Q:Q)</f>
        <v>0</v>
      </c>
      <c r="Y33" s="35">
        <f t="shared" si="10"/>
        <v>0</v>
      </c>
      <c r="Z33" s="35">
        <f>SUMIF('5 Year Supply Plan'!A:A,'JZ_BRAND SPLITS'!C33,'5 Year Supply Plan'!R:R)</f>
        <v>0</v>
      </c>
      <c r="AA33" s="35">
        <f t="shared" si="11"/>
        <v>0</v>
      </c>
      <c r="AB33" s="35">
        <f>SUMIF('5 Year Supply Plan'!A:A,'JZ_BRAND SPLITS'!C33,'5 Year Supply Plan'!S:S)</f>
        <v>0</v>
      </c>
      <c r="AC33" s="35">
        <f t="shared" si="12"/>
        <v>0</v>
      </c>
      <c r="AD33" s="35">
        <f>SUMIF('5 Year Supply Plan'!A:A,'JZ_BRAND SPLITS'!C33,'5 Year Supply Plan'!T:T)</f>
        <v>0</v>
      </c>
      <c r="AE33" s="35">
        <f t="shared" si="13"/>
        <v>0</v>
      </c>
      <c r="AF33" s="35">
        <f>SUMIF('5 Year Supply Plan'!A:A,'JZ_BRAND SPLITS'!C33,'5 Year Supply Plan'!U:U)</f>
        <v>0</v>
      </c>
      <c r="AG33" s="35">
        <f t="shared" si="14"/>
        <v>0</v>
      </c>
      <c r="AH33" s="35">
        <f>SUMIF('5 Year Supply Plan'!A:A,'JZ_BRAND SPLITS'!C33,'5 Year Supply Plan'!V:V)</f>
        <v>0</v>
      </c>
      <c r="AI33" s="35">
        <f t="shared" si="15"/>
        <v>0</v>
      </c>
      <c r="AJ33" s="35">
        <f>SUMIF('5 Year Supply Plan'!A:A,'JZ_BRAND SPLITS'!C33,'5 Year Supply Plan'!W:W)</f>
        <v>0</v>
      </c>
      <c r="AK33" s="35">
        <f t="shared" si="16"/>
        <v>0</v>
      </c>
      <c r="AL33" s="35">
        <f>SUMIF('5 Year Supply Plan'!A:A,'JZ_BRAND SPLITS'!C33,'5 Year Supply Plan'!X:X)</f>
        <v>0</v>
      </c>
      <c r="AM33" s="35">
        <f t="shared" si="17"/>
        <v>0</v>
      </c>
      <c r="AN33" s="35">
        <f>SUMIF('5 Year Supply Plan'!A:A,'JZ_BRAND SPLITS'!C33,'5 Year Supply Plan'!Y:Y)</f>
        <v>0</v>
      </c>
      <c r="AO33" s="35">
        <f t="shared" si="18"/>
        <v>0</v>
      </c>
      <c r="AP33" s="35">
        <f>SUMIF('5 Year Supply Plan'!A:A,'JZ_BRAND SPLITS'!C33,'5 Year Supply Plan'!Z:Z)</f>
        <v>0</v>
      </c>
      <c r="AQ33" s="35">
        <f t="shared" si="19"/>
        <v>0</v>
      </c>
      <c r="AR33" s="35">
        <f>SUMIF('5 Year Supply Plan'!A:A,'JZ_BRAND SPLITS'!C33,'5 Year Supply Plan'!AA:AA)</f>
        <v>0</v>
      </c>
      <c r="AS33" s="35">
        <f t="shared" si="20"/>
        <v>0</v>
      </c>
      <c r="AT33" s="35">
        <f>SUMIF('5 Year Supply Plan'!A:A,'JZ_BRAND SPLITS'!C33,'5 Year Supply Plan'!AB:AB)</f>
        <v>0</v>
      </c>
      <c r="AU33" s="35">
        <f t="shared" si="21"/>
        <v>0</v>
      </c>
      <c r="AV33" s="35">
        <f>SUMIF('5 Year Supply Plan'!A:A,'JZ_BRAND SPLITS'!C33,'5 Year Supply Plan'!AC:AC)</f>
        <v>0</v>
      </c>
      <c r="AW33" s="35">
        <f t="shared" si="22"/>
        <v>0</v>
      </c>
      <c r="AX33" s="35">
        <f>SUMIF('5 Year Supply Plan'!A:A,'JZ_BRAND SPLITS'!C33,'5 Year Supply Plan'!AD:AD)</f>
        <v>0</v>
      </c>
      <c r="AY33" s="35">
        <f t="shared" si="23"/>
        <v>0</v>
      </c>
      <c r="AZ33" s="35">
        <f>SUMIF('5 Year Supply Plan'!A:A,'JZ_BRAND SPLITS'!C33,'5 Year Supply Plan'!AE:AE)</f>
        <v>0</v>
      </c>
      <c r="BA33" s="35">
        <f t="shared" si="24"/>
        <v>0</v>
      </c>
      <c r="BB33" s="35">
        <f>SUMIF('5 Year Supply Plan'!A:A,'JZ_BRAND SPLITS'!C33,'5 Year Supply Plan'!AF:AF)</f>
        <v>0</v>
      </c>
      <c r="BC33" s="35">
        <f t="shared" si="25"/>
        <v>0</v>
      </c>
      <c r="BD33" s="35">
        <f>SUMIF('5 Year Supply Plan'!A:A,'JZ_BRAND SPLITS'!C33,'5 Year Supply Plan'!AG:AG)</f>
        <v>0</v>
      </c>
      <c r="BE33" s="35">
        <f t="shared" si="26"/>
        <v>0</v>
      </c>
      <c r="BF33" s="35">
        <f>SUMIF('5 Year Supply Plan'!A:A,'JZ_BRAND SPLITS'!C33,'5 Year Supply Plan'!AH:AH)</f>
        <v>0</v>
      </c>
      <c r="BG33" s="35">
        <f t="shared" si="27"/>
        <v>0</v>
      </c>
      <c r="BH33" s="35">
        <f>SUMIF('5 Year Supply Plan'!A:A,'JZ_BRAND SPLITS'!C33,'5 Year Supply Plan'!AI:AI)</f>
        <v>0</v>
      </c>
      <c r="BI33" s="35">
        <f t="shared" si="28"/>
        <v>0</v>
      </c>
      <c r="BJ33" s="35">
        <f>SUMIF('5 Year Supply Plan'!A:A,'JZ_BRAND SPLITS'!C33,'5 Year Supply Plan'!AJ:AJ)</f>
        <v>0</v>
      </c>
      <c r="BK33" s="35">
        <f t="shared" si="29"/>
        <v>0</v>
      </c>
      <c r="BL33" s="35">
        <f>SUMIF('5 Year Supply Plan'!A:A,'JZ_BRAND SPLITS'!C33,'5 Year Supply Plan'!AK:AK)</f>
        <v>0</v>
      </c>
      <c r="BM33" s="35">
        <f t="shared" si="30"/>
        <v>0</v>
      </c>
      <c r="BN33" s="35">
        <f>SUMIF('5 Year Supply Plan'!A:A,'JZ_BRAND SPLITS'!C33,'5 Year Supply Plan'!AL:AL)</f>
        <v>0</v>
      </c>
      <c r="BO33" s="35">
        <f t="shared" si="31"/>
        <v>0</v>
      </c>
      <c r="BP33" s="35">
        <f>SUMIF('5 Year Supply Plan'!A:A,'JZ_BRAND SPLITS'!C33,'5 Year Supply Plan'!AM:AM)</f>
        <v>0</v>
      </c>
      <c r="BQ33" s="35">
        <f t="shared" si="32"/>
        <v>0</v>
      </c>
      <c r="BR33" s="35">
        <f>SUMIF('5 Year Supply Plan'!A:A,'JZ_BRAND SPLITS'!C33,'5 Year Supply Plan'!AN:AN)</f>
        <v>0</v>
      </c>
      <c r="BS33" s="35">
        <f t="shared" si="33"/>
        <v>0</v>
      </c>
      <c r="BT33" s="35">
        <f>SUMIF('5 Year Supply Plan'!A:A,'JZ_BRAND SPLITS'!C33,'5 Year Supply Plan'!AO:AO)</f>
        <v>0</v>
      </c>
      <c r="BU33" s="35">
        <f t="shared" si="34"/>
        <v>0</v>
      </c>
      <c r="BV33" s="35">
        <f>SUMIF('5 Year Supply Plan'!A:A,'JZ_BRAND SPLITS'!C33,'5 Year Supply Plan'!AP:AP)</f>
        <v>0</v>
      </c>
      <c r="BW33" s="35">
        <f t="shared" si="35"/>
        <v>0</v>
      </c>
      <c r="BX33" s="35">
        <f>SUMIF('5 Year Supply Plan'!A:A,'JZ_BRAND SPLITS'!C33,'5 Year Supply Plan'!AQ:AQ)</f>
        <v>0</v>
      </c>
      <c r="BY33" s="35">
        <f t="shared" si="36"/>
        <v>0</v>
      </c>
      <c r="BZ33" s="35">
        <f>SUMIF('5 Year Supply Plan'!A:A,'JZ_BRAND SPLITS'!C33,'5 Year Supply Plan'!AR:AR)</f>
        <v>0</v>
      </c>
      <c r="CA33" s="35">
        <f t="shared" si="37"/>
        <v>0</v>
      </c>
      <c r="CB33" s="35">
        <f>SUMIF('5 Year Supply Plan'!A:A,'JZ_BRAND SPLITS'!C33,'5 Year Supply Plan'!AS:AS)</f>
        <v>0</v>
      </c>
      <c r="CC33" s="35">
        <f t="shared" si="38"/>
        <v>0</v>
      </c>
      <c r="CD33" s="35">
        <f>SUMIF('5 Year Supply Plan'!A:A,'JZ_BRAND SPLITS'!C33,'5 Year Supply Plan'!AT:AT)</f>
        <v>0</v>
      </c>
      <c r="CE33" s="35">
        <f t="shared" si="39"/>
        <v>0</v>
      </c>
      <c r="CF33" s="35">
        <f>SUMIF('5 Year Supply Plan'!A:A,'JZ_BRAND SPLITS'!C33,'5 Year Supply Plan'!AU:AU)</f>
        <v>0</v>
      </c>
      <c r="CG33" s="35">
        <f t="shared" si="40"/>
        <v>0</v>
      </c>
      <c r="CH33" s="35">
        <f>SUMIF('5 Year Supply Plan'!A:A,'JZ_BRAND SPLITS'!C33,'5 Year Supply Plan'!AV:AV)</f>
        <v>0</v>
      </c>
      <c r="CI33" s="35">
        <f t="shared" si="41"/>
        <v>0</v>
      </c>
      <c r="CJ33" s="35">
        <f>SUMIF('5 Year Supply Plan'!A:A,'JZ_BRAND SPLITS'!C33,'5 Year Supply Plan'!AW:AW)</f>
        <v>0</v>
      </c>
      <c r="CK33" s="35">
        <f t="shared" si="42"/>
        <v>0</v>
      </c>
      <c r="CL33" s="35">
        <f>SUMIF('5 Year Supply Plan'!A:A,'JZ_BRAND SPLITS'!C33,'5 Year Supply Plan'!AX:AX)</f>
        <v>0</v>
      </c>
      <c r="CM33" s="35">
        <f t="shared" si="43"/>
        <v>0</v>
      </c>
      <c r="CN33" s="35">
        <f>SUMIF('5 Year Supply Plan'!A:A,'JZ_BRAND SPLITS'!C33,'5 Year Supply Plan'!AY:AY)</f>
        <v>0</v>
      </c>
      <c r="CO33" s="35">
        <f t="shared" si="44"/>
        <v>0</v>
      </c>
      <c r="CP33" s="35">
        <f>SUMIF('5 Year Supply Plan'!A:A,'JZ_BRAND SPLITS'!C33,'5 Year Supply Plan'!AZ:AZ)</f>
        <v>0</v>
      </c>
      <c r="CQ33" s="35">
        <f t="shared" si="45"/>
        <v>0</v>
      </c>
      <c r="CR33" s="35">
        <f>SUMIF('5 Year Supply Plan'!A:A,'JZ_BRAND SPLITS'!C33,'5 Year Supply Plan'!BA:BA)</f>
        <v>0</v>
      </c>
      <c r="CS33" s="35">
        <f t="shared" si="46"/>
        <v>0</v>
      </c>
      <c r="CT33" s="35">
        <f>SUMIF('5 Year Supply Plan'!A:A,'JZ_BRAND SPLITS'!C33,'5 Year Supply Plan'!BB:BB)</f>
        <v>0</v>
      </c>
      <c r="CU33" s="35">
        <f t="shared" si="47"/>
        <v>0</v>
      </c>
      <c r="CV33" s="35">
        <f>SUMIF('5 Year Supply Plan'!A:A,'JZ_BRAND SPLITS'!C33,'5 Year Supply Plan'!BC:BC)</f>
        <v>0</v>
      </c>
      <c r="CW33" s="35">
        <f t="shared" si="48"/>
        <v>0</v>
      </c>
      <c r="CX33" s="35">
        <f>SUMIF('5 Year Supply Plan'!A:A,'JZ_BRAND SPLITS'!C33,'5 Year Supply Plan'!BD:BD)</f>
        <v>0</v>
      </c>
      <c r="CY33" s="35">
        <f t="shared" si="49"/>
        <v>0</v>
      </c>
      <c r="CZ33" s="35">
        <f>SUMIF('5 Year Supply Plan'!A:A,'JZ_BRAND SPLITS'!C33,'5 Year Supply Plan'!BE:BE)</f>
        <v>0</v>
      </c>
      <c r="DA33" s="35">
        <f t="shared" si="50"/>
        <v>0</v>
      </c>
      <c r="DB33" s="35">
        <f>SUMIF('5 Year Supply Plan'!A:A,'JZ_BRAND SPLITS'!C33,'5 Year Supply Plan'!BF:BF)</f>
        <v>0</v>
      </c>
      <c r="DC33" s="35">
        <f t="shared" si="51"/>
        <v>0</v>
      </c>
      <c r="DD33" s="35">
        <f>SUMIF('5 Year Supply Plan'!A:A,'JZ_BRAND SPLITS'!C33,'5 Year Supply Plan'!BG:BG)</f>
        <v>0</v>
      </c>
      <c r="DE33" s="35">
        <f t="shared" si="52"/>
        <v>0</v>
      </c>
      <c r="DF33" s="35">
        <f>SUMIF('5 Year Supply Plan'!A:A,'JZ_BRAND SPLITS'!C33,'5 Year Supply Plan'!BH:BH)</f>
        <v>0</v>
      </c>
      <c r="DG33" s="35">
        <f t="shared" si="53"/>
        <v>0</v>
      </c>
      <c r="DH33" s="35">
        <f>SUMIF('5 Year Supply Plan'!A:A,'JZ_BRAND SPLITS'!C33,'5 Year Supply Plan'!BI:BI)</f>
        <v>0</v>
      </c>
      <c r="DI33" s="35">
        <f t="shared" si="54"/>
        <v>0</v>
      </c>
      <c r="DJ33" s="35">
        <f>SUMIF('5 Year Supply Plan'!A:A,'JZ_BRAND SPLITS'!C33,'5 Year Supply Plan'!BJ:BJ)</f>
        <v>0</v>
      </c>
      <c r="DK33" s="35">
        <f t="shared" si="55"/>
        <v>0</v>
      </c>
      <c r="DL33" s="35">
        <f>SUMIF('5 Year Supply Plan'!A:A,'JZ_BRAND SPLITS'!C33,'5 Year Supply Plan'!BK:BK)</f>
        <v>0</v>
      </c>
      <c r="DM33" s="35">
        <f t="shared" si="56"/>
        <v>0</v>
      </c>
      <c r="DN33" s="42">
        <f>SUMIF('5 Year Supply Plan'!A:A,'JZ_BRAND SPLITS'!C33,'5 Year Supply Plan'!BL:BL)</f>
        <v>0</v>
      </c>
      <c r="DO33" s="35">
        <f t="shared" si="57"/>
        <v>0</v>
      </c>
      <c r="DP33" s="35">
        <f>SUMIF('5 Year Supply Plan'!A:A,'JZ_BRAND SPLITS'!C33,'5 Year Supply Plan'!BM:BM)</f>
        <v>0</v>
      </c>
      <c r="DQ33" s="35">
        <f t="shared" si="58"/>
        <v>0</v>
      </c>
      <c r="DR33" s="35">
        <f>SUMIF('5 Year Supply Plan'!A:A,'JZ_BRAND SPLITS'!C33,'5 Year Supply Plan'!BN:BN)</f>
        <v>0</v>
      </c>
      <c r="DS33" s="35">
        <f t="shared" si="59"/>
        <v>0</v>
      </c>
      <c r="DT33" s="39">
        <f t="shared" si="60"/>
        <v>0</v>
      </c>
      <c r="DU33" s="36">
        <f>SUMIF('5 Year Supply Plan'!A:A,'JZ_BRAND SPLITS'!C33,'5 Year Supply Plan'!BO:BO)</f>
        <v>0</v>
      </c>
    </row>
    <row r="34" spans="1:125" x14ac:dyDescent="0.25">
      <c r="A34" s="40" t="s">
        <v>264</v>
      </c>
      <c r="B34" s="40" t="s">
        <v>257</v>
      </c>
      <c r="C34" s="40" t="s">
        <v>93</v>
      </c>
      <c r="D34" s="40" t="str">
        <f t="shared" si="0"/>
        <v>C04BPROPAC (MODIFIED)</v>
      </c>
      <c r="E34" s="41">
        <v>1</v>
      </c>
      <c r="F34" s="35">
        <f>SUMIF('5 Year Supply Plan'!A:A,'JZ_BRAND SPLITS'!C34,'5 Year Supply Plan'!H:H)</f>
        <v>982.879456</v>
      </c>
      <c r="G34" s="35">
        <f t="shared" si="1"/>
        <v>982.879456</v>
      </c>
      <c r="H34" s="35">
        <f>SUMIF('5 Year Supply Plan'!A:A,'JZ_BRAND SPLITS'!C34,'5 Year Supply Plan'!I:I)</f>
        <v>2807.318115</v>
      </c>
      <c r="I34" s="35">
        <f t="shared" si="2"/>
        <v>2807.318115</v>
      </c>
      <c r="J34" s="35">
        <f>SUMIF('5 Year Supply Plan'!A:A,'JZ_BRAND SPLITS'!C34,'5 Year Supply Plan'!J:J)</f>
        <v>2457.2282709999999</v>
      </c>
      <c r="K34" s="35">
        <f t="shared" si="3"/>
        <v>2457.2282709999999</v>
      </c>
      <c r="L34" s="35">
        <f>SUMIF('5 Year Supply Plan'!A:A,'JZ_BRAND SPLITS'!C34,'5 Year Supply Plan'!K:K)</f>
        <v>0</v>
      </c>
      <c r="M34" s="35">
        <f t="shared" si="4"/>
        <v>0</v>
      </c>
      <c r="N34" s="35">
        <f>SUMIF('5 Year Supply Plan'!A:A,'JZ_BRAND SPLITS'!C34,'5 Year Supply Plan'!L:L)</f>
        <v>0</v>
      </c>
      <c r="O34" s="35">
        <f t="shared" si="5"/>
        <v>0</v>
      </c>
      <c r="P34" s="35">
        <f>SUMIF('5 Year Supply Plan'!A:A,'JZ_BRAND SPLITS'!C34,'5 Year Supply Plan'!M:M)</f>
        <v>0</v>
      </c>
      <c r="Q34" s="35">
        <f t="shared" si="6"/>
        <v>0</v>
      </c>
      <c r="R34" s="35">
        <f>SUMIF('5 Year Supply Plan'!A:A,'JZ_BRAND SPLITS'!C34,'5 Year Supply Plan'!N:N)</f>
        <v>0</v>
      </c>
      <c r="S34" s="35">
        <f t="shared" si="7"/>
        <v>0</v>
      </c>
      <c r="T34" s="35">
        <f>SUMIF('5 Year Supply Plan'!A:A,'JZ_BRAND SPLITS'!C34,'5 Year Supply Plan'!O:O)</f>
        <v>0</v>
      </c>
      <c r="U34" s="35">
        <f t="shared" si="8"/>
        <v>0</v>
      </c>
      <c r="V34" s="35">
        <f>SUMIF('5 Year Supply Plan'!A:A,'JZ_BRAND SPLITS'!C34,'5 Year Supply Plan'!P:P)</f>
        <v>0</v>
      </c>
      <c r="W34" s="35">
        <f t="shared" si="9"/>
        <v>0</v>
      </c>
      <c r="X34" s="35">
        <f>SUMIF('5 Year Supply Plan'!A:A,'JZ_BRAND SPLITS'!C34,'5 Year Supply Plan'!Q:Q)</f>
        <v>0</v>
      </c>
      <c r="Y34" s="35">
        <f t="shared" si="10"/>
        <v>0</v>
      </c>
      <c r="Z34" s="35">
        <f>SUMIF('5 Year Supply Plan'!A:A,'JZ_BRAND SPLITS'!C34,'5 Year Supply Plan'!R:R)</f>
        <v>0</v>
      </c>
      <c r="AA34" s="35">
        <f t="shared" si="11"/>
        <v>0</v>
      </c>
      <c r="AB34" s="35">
        <f>SUMIF('5 Year Supply Plan'!A:A,'JZ_BRAND SPLITS'!C34,'5 Year Supply Plan'!S:S)</f>
        <v>0</v>
      </c>
      <c r="AC34" s="35">
        <f t="shared" si="12"/>
        <v>0</v>
      </c>
      <c r="AD34" s="35">
        <f>SUMIF('5 Year Supply Plan'!A:A,'JZ_BRAND SPLITS'!C34,'5 Year Supply Plan'!T:T)</f>
        <v>0</v>
      </c>
      <c r="AE34" s="35">
        <f t="shared" si="13"/>
        <v>0</v>
      </c>
      <c r="AF34" s="35">
        <f>SUMIF('5 Year Supply Plan'!A:A,'JZ_BRAND SPLITS'!C34,'5 Year Supply Plan'!U:U)</f>
        <v>0</v>
      </c>
      <c r="AG34" s="35">
        <f t="shared" si="14"/>
        <v>0</v>
      </c>
      <c r="AH34" s="35">
        <f>SUMIF('5 Year Supply Plan'!A:A,'JZ_BRAND SPLITS'!C34,'5 Year Supply Plan'!V:V)</f>
        <v>0</v>
      </c>
      <c r="AI34" s="35">
        <f t="shared" si="15"/>
        <v>0</v>
      </c>
      <c r="AJ34" s="35">
        <f>SUMIF('5 Year Supply Plan'!A:A,'JZ_BRAND SPLITS'!C34,'5 Year Supply Plan'!W:W)</f>
        <v>0</v>
      </c>
      <c r="AK34" s="35">
        <f t="shared" si="16"/>
        <v>0</v>
      </c>
      <c r="AL34" s="35">
        <f>SUMIF('5 Year Supply Plan'!A:A,'JZ_BRAND SPLITS'!C34,'5 Year Supply Plan'!X:X)</f>
        <v>0</v>
      </c>
      <c r="AM34" s="35">
        <f t="shared" si="17"/>
        <v>0</v>
      </c>
      <c r="AN34" s="35">
        <f>SUMIF('5 Year Supply Plan'!A:A,'JZ_BRAND SPLITS'!C34,'5 Year Supply Plan'!Y:Y)</f>
        <v>0</v>
      </c>
      <c r="AO34" s="35">
        <f t="shared" si="18"/>
        <v>0</v>
      </c>
      <c r="AP34" s="35">
        <f>SUMIF('5 Year Supply Plan'!A:A,'JZ_BRAND SPLITS'!C34,'5 Year Supply Plan'!Z:Z)</f>
        <v>0</v>
      </c>
      <c r="AQ34" s="35">
        <f t="shared" si="19"/>
        <v>0</v>
      </c>
      <c r="AR34" s="35">
        <f>SUMIF('5 Year Supply Plan'!A:A,'JZ_BRAND SPLITS'!C34,'5 Year Supply Plan'!AA:AA)</f>
        <v>0</v>
      </c>
      <c r="AS34" s="35">
        <f t="shared" si="20"/>
        <v>0</v>
      </c>
      <c r="AT34" s="35">
        <f>SUMIF('5 Year Supply Plan'!A:A,'JZ_BRAND SPLITS'!C34,'5 Year Supply Plan'!AB:AB)</f>
        <v>0</v>
      </c>
      <c r="AU34" s="35">
        <f t="shared" si="21"/>
        <v>0</v>
      </c>
      <c r="AV34" s="35">
        <f>SUMIF('5 Year Supply Plan'!A:A,'JZ_BRAND SPLITS'!C34,'5 Year Supply Plan'!AC:AC)</f>
        <v>0</v>
      </c>
      <c r="AW34" s="35">
        <f t="shared" si="22"/>
        <v>0</v>
      </c>
      <c r="AX34" s="35">
        <f>SUMIF('5 Year Supply Plan'!A:A,'JZ_BRAND SPLITS'!C34,'5 Year Supply Plan'!AD:AD)</f>
        <v>0</v>
      </c>
      <c r="AY34" s="35">
        <f t="shared" si="23"/>
        <v>0</v>
      </c>
      <c r="AZ34" s="35">
        <f>SUMIF('5 Year Supply Plan'!A:A,'JZ_BRAND SPLITS'!C34,'5 Year Supply Plan'!AE:AE)</f>
        <v>0</v>
      </c>
      <c r="BA34" s="35">
        <f t="shared" si="24"/>
        <v>0</v>
      </c>
      <c r="BB34" s="35">
        <f>SUMIF('5 Year Supply Plan'!A:A,'JZ_BRAND SPLITS'!C34,'5 Year Supply Plan'!AF:AF)</f>
        <v>0</v>
      </c>
      <c r="BC34" s="35">
        <f t="shared" si="25"/>
        <v>0</v>
      </c>
      <c r="BD34" s="35">
        <f>SUMIF('5 Year Supply Plan'!A:A,'JZ_BRAND SPLITS'!C34,'5 Year Supply Plan'!AG:AG)</f>
        <v>0</v>
      </c>
      <c r="BE34" s="35">
        <f t="shared" si="26"/>
        <v>0</v>
      </c>
      <c r="BF34" s="35">
        <f>SUMIF('5 Year Supply Plan'!A:A,'JZ_BRAND SPLITS'!C34,'5 Year Supply Plan'!AH:AH)</f>
        <v>0</v>
      </c>
      <c r="BG34" s="35">
        <f t="shared" si="27"/>
        <v>0</v>
      </c>
      <c r="BH34" s="35">
        <f>SUMIF('5 Year Supply Plan'!A:A,'JZ_BRAND SPLITS'!C34,'5 Year Supply Plan'!AI:AI)</f>
        <v>0</v>
      </c>
      <c r="BI34" s="35">
        <f t="shared" si="28"/>
        <v>0</v>
      </c>
      <c r="BJ34" s="35">
        <f>SUMIF('5 Year Supply Plan'!A:A,'JZ_BRAND SPLITS'!C34,'5 Year Supply Plan'!AJ:AJ)</f>
        <v>0</v>
      </c>
      <c r="BK34" s="35">
        <f t="shared" si="29"/>
        <v>0</v>
      </c>
      <c r="BL34" s="35">
        <f>SUMIF('5 Year Supply Plan'!A:A,'JZ_BRAND SPLITS'!C34,'5 Year Supply Plan'!AK:AK)</f>
        <v>0</v>
      </c>
      <c r="BM34" s="35">
        <f t="shared" si="30"/>
        <v>0</v>
      </c>
      <c r="BN34" s="35">
        <f>SUMIF('5 Year Supply Plan'!A:A,'JZ_BRAND SPLITS'!C34,'5 Year Supply Plan'!AL:AL)</f>
        <v>0</v>
      </c>
      <c r="BO34" s="35">
        <f t="shared" si="31"/>
        <v>0</v>
      </c>
      <c r="BP34" s="35">
        <f>SUMIF('5 Year Supply Plan'!A:A,'JZ_BRAND SPLITS'!C34,'5 Year Supply Plan'!AM:AM)</f>
        <v>0</v>
      </c>
      <c r="BQ34" s="35">
        <f t="shared" si="32"/>
        <v>0</v>
      </c>
      <c r="BR34" s="35">
        <f>SUMIF('5 Year Supply Plan'!A:A,'JZ_BRAND SPLITS'!C34,'5 Year Supply Plan'!AN:AN)</f>
        <v>0</v>
      </c>
      <c r="BS34" s="35">
        <f t="shared" si="33"/>
        <v>0</v>
      </c>
      <c r="BT34" s="35">
        <f>SUMIF('5 Year Supply Plan'!A:A,'JZ_BRAND SPLITS'!C34,'5 Year Supply Plan'!AO:AO)</f>
        <v>0</v>
      </c>
      <c r="BU34" s="35">
        <f t="shared" si="34"/>
        <v>0</v>
      </c>
      <c r="BV34" s="35">
        <f>SUMIF('5 Year Supply Plan'!A:A,'JZ_BRAND SPLITS'!C34,'5 Year Supply Plan'!AP:AP)</f>
        <v>0</v>
      </c>
      <c r="BW34" s="35">
        <f t="shared" si="35"/>
        <v>0</v>
      </c>
      <c r="BX34" s="35">
        <f>SUMIF('5 Year Supply Plan'!A:A,'JZ_BRAND SPLITS'!C34,'5 Year Supply Plan'!AQ:AQ)</f>
        <v>0</v>
      </c>
      <c r="BY34" s="35">
        <f t="shared" si="36"/>
        <v>0</v>
      </c>
      <c r="BZ34" s="35">
        <f>SUMIF('5 Year Supply Plan'!A:A,'JZ_BRAND SPLITS'!C34,'5 Year Supply Plan'!AR:AR)</f>
        <v>0</v>
      </c>
      <c r="CA34" s="35">
        <f t="shared" si="37"/>
        <v>0</v>
      </c>
      <c r="CB34" s="35">
        <f>SUMIF('5 Year Supply Plan'!A:A,'JZ_BRAND SPLITS'!C34,'5 Year Supply Plan'!AS:AS)</f>
        <v>0</v>
      </c>
      <c r="CC34" s="35">
        <f t="shared" si="38"/>
        <v>0</v>
      </c>
      <c r="CD34" s="35">
        <f>SUMIF('5 Year Supply Plan'!A:A,'JZ_BRAND SPLITS'!C34,'5 Year Supply Plan'!AT:AT)</f>
        <v>0</v>
      </c>
      <c r="CE34" s="35">
        <f t="shared" si="39"/>
        <v>0</v>
      </c>
      <c r="CF34" s="35">
        <f>SUMIF('5 Year Supply Plan'!A:A,'JZ_BRAND SPLITS'!C34,'5 Year Supply Plan'!AU:AU)</f>
        <v>0</v>
      </c>
      <c r="CG34" s="35">
        <f t="shared" si="40"/>
        <v>0</v>
      </c>
      <c r="CH34" s="35">
        <f>SUMIF('5 Year Supply Plan'!A:A,'JZ_BRAND SPLITS'!C34,'5 Year Supply Plan'!AV:AV)</f>
        <v>0</v>
      </c>
      <c r="CI34" s="35">
        <f t="shared" si="41"/>
        <v>0</v>
      </c>
      <c r="CJ34" s="35">
        <f>SUMIF('5 Year Supply Plan'!A:A,'JZ_BRAND SPLITS'!C34,'5 Year Supply Plan'!AW:AW)</f>
        <v>0</v>
      </c>
      <c r="CK34" s="35">
        <f t="shared" si="42"/>
        <v>0</v>
      </c>
      <c r="CL34" s="35">
        <f>SUMIF('5 Year Supply Plan'!A:A,'JZ_BRAND SPLITS'!C34,'5 Year Supply Plan'!AX:AX)</f>
        <v>0</v>
      </c>
      <c r="CM34" s="35">
        <f t="shared" si="43"/>
        <v>0</v>
      </c>
      <c r="CN34" s="35">
        <f>SUMIF('5 Year Supply Plan'!A:A,'JZ_BRAND SPLITS'!C34,'5 Year Supply Plan'!AY:AY)</f>
        <v>0</v>
      </c>
      <c r="CO34" s="35">
        <f t="shared" si="44"/>
        <v>0</v>
      </c>
      <c r="CP34" s="35">
        <f>SUMIF('5 Year Supply Plan'!A:A,'JZ_BRAND SPLITS'!C34,'5 Year Supply Plan'!AZ:AZ)</f>
        <v>0</v>
      </c>
      <c r="CQ34" s="35">
        <f t="shared" si="45"/>
        <v>0</v>
      </c>
      <c r="CR34" s="35">
        <f>SUMIF('5 Year Supply Plan'!A:A,'JZ_BRAND SPLITS'!C34,'5 Year Supply Plan'!BA:BA)</f>
        <v>0</v>
      </c>
      <c r="CS34" s="35">
        <f t="shared" si="46"/>
        <v>0</v>
      </c>
      <c r="CT34" s="35">
        <f>SUMIF('5 Year Supply Plan'!A:A,'JZ_BRAND SPLITS'!C34,'5 Year Supply Plan'!BB:BB)</f>
        <v>0</v>
      </c>
      <c r="CU34" s="35">
        <f t="shared" si="47"/>
        <v>0</v>
      </c>
      <c r="CV34" s="35">
        <f>SUMIF('5 Year Supply Plan'!A:A,'JZ_BRAND SPLITS'!C34,'5 Year Supply Plan'!BC:BC)</f>
        <v>0</v>
      </c>
      <c r="CW34" s="35">
        <f t="shared" si="48"/>
        <v>0</v>
      </c>
      <c r="CX34" s="35">
        <f>SUMIF('5 Year Supply Plan'!A:A,'JZ_BRAND SPLITS'!C34,'5 Year Supply Plan'!BD:BD)</f>
        <v>0</v>
      </c>
      <c r="CY34" s="35">
        <f t="shared" si="49"/>
        <v>0</v>
      </c>
      <c r="CZ34" s="35">
        <f>SUMIF('5 Year Supply Plan'!A:A,'JZ_BRAND SPLITS'!C34,'5 Year Supply Plan'!BE:BE)</f>
        <v>0</v>
      </c>
      <c r="DA34" s="35">
        <f t="shared" si="50"/>
        <v>0</v>
      </c>
      <c r="DB34" s="35">
        <f>SUMIF('5 Year Supply Plan'!A:A,'JZ_BRAND SPLITS'!C34,'5 Year Supply Plan'!BF:BF)</f>
        <v>0</v>
      </c>
      <c r="DC34" s="35">
        <f t="shared" si="51"/>
        <v>0</v>
      </c>
      <c r="DD34" s="35">
        <f>SUMIF('5 Year Supply Plan'!A:A,'JZ_BRAND SPLITS'!C34,'5 Year Supply Plan'!BG:BG)</f>
        <v>0</v>
      </c>
      <c r="DE34" s="35">
        <f t="shared" si="52"/>
        <v>0</v>
      </c>
      <c r="DF34" s="35">
        <f>SUMIF('5 Year Supply Plan'!A:A,'JZ_BRAND SPLITS'!C34,'5 Year Supply Plan'!BH:BH)</f>
        <v>0</v>
      </c>
      <c r="DG34" s="35">
        <f t="shared" si="53"/>
        <v>0</v>
      </c>
      <c r="DH34" s="35">
        <f>SUMIF('5 Year Supply Plan'!A:A,'JZ_BRAND SPLITS'!C34,'5 Year Supply Plan'!BI:BI)</f>
        <v>0</v>
      </c>
      <c r="DI34" s="35">
        <f t="shared" si="54"/>
        <v>0</v>
      </c>
      <c r="DJ34" s="35">
        <f>SUMIF('5 Year Supply Plan'!A:A,'JZ_BRAND SPLITS'!C34,'5 Year Supply Plan'!BJ:BJ)</f>
        <v>0</v>
      </c>
      <c r="DK34" s="35">
        <f t="shared" si="55"/>
        <v>0</v>
      </c>
      <c r="DL34" s="35">
        <f>SUMIF('5 Year Supply Plan'!A:A,'JZ_BRAND SPLITS'!C34,'5 Year Supply Plan'!BK:BK)</f>
        <v>0</v>
      </c>
      <c r="DM34" s="35">
        <f t="shared" si="56"/>
        <v>0</v>
      </c>
      <c r="DN34" s="42">
        <f>SUMIF('5 Year Supply Plan'!A:A,'JZ_BRAND SPLITS'!C34,'5 Year Supply Plan'!BL:BL)</f>
        <v>0</v>
      </c>
      <c r="DO34" s="35">
        <f t="shared" si="57"/>
        <v>0</v>
      </c>
      <c r="DP34" s="35">
        <f>SUMIF('5 Year Supply Plan'!A:A,'JZ_BRAND SPLITS'!C34,'5 Year Supply Plan'!BM:BM)</f>
        <v>0</v>
      </c>
      <c r="DQ34" s="35">
        <f t="shared" si="58"/>
        <v>0</v>
      </c>
      <c r="DR34" s="35">
        <f>SUMIF('5 Year Supply Plan'!A:A,'JZ_BRAND SPLITS'!C34,'5 Year Supply Plan'!BN:BN)</f>
        <v>0</v>
      </c>
      <c r="DS34" s="35">
        <f t="shared" si="59"/>
        <v>0</v>
      </c>
      <c r="DT34" s="39">
        <f t="shared" si="60"/>
        <v>6247.4258419999996</v>
      </c>
      <c r="DU34" s="36">
        <f>SUMIF('5 Year Supply Plan'!A:A,'JZ_BRAND SPLITS'!C34,'5 Year Supply Plan'!BO:BO)</f>
        <v>6247.4258420000006</v>
      </c>
    </row>
    <row r="35" spans="1:125" x14ac:dyDescent="0.25">
      <c r="A35" s="40" t="s">
        <v>264</v>
      </c>
      <c r="B35" s="40" t="s">
        <v>257</v>
      </c>
      <c r="C35" s="40" t="s">
        <v>101</v>
      </c>
      <c r="D35" s="40" t="str">
        <f t="shared" si="0"/>
        <v>C04BSUPERTORQUE PLUS</v>
      </c>
      <c r="E35" s="41">
        <v>0</v>
      </c>
      <c r="F35" s="35">
        <f>SUMIF('5 Year Supply Plan'!A:A,'JZ_BRAND SPLITS'!C35,'5 Year Supply Plan'!H:H)</f>
        <v>272655.75</v>
      </c>
      <c r="G35" s="35">
        <f t="shared" si="1"/>
        <v>0</v>
      </c>
      <c r="H35" s="35">
        <f>SUMIF('5 Year Supply Plan'!A:A,'JZ_BRAND SPLITS'!C35,'5 Year Supply Plan'!I:I)</f>
        <v>347864.875</v>
      </c>
      <c r="I35" s="35">
        <f t="shared" si="2"/>
        <v>0</v>
      </c>
      <c r="J35" s="35">
        <f>SUMIF('5 Year Supply Plan'!A:A,'JZ_BRAND SPLITS'!C35,'5 Year Supply Plan'!J:J)</f>
        <v>289887.375</v>
      </c>
      <c r="K35" s="35">
        <f t="shared" si="3"/>
        <v>0</v>
      </c>
      <c r="L35" s="35">
        <f>SUMIF('5 Year Supply Plan'!A:A,'JZ_BRAND SPLITS'!C35,'5 Year Supply Plan'!K:K)</f>
        <v>213242</v>
      </c>
      <c r="M35" s="35">
        <f t="shared" si="4"/>
        <v>0</v>
      </c>
      <c r="N35" s="35">
        <f>SUMIF('5 Year Supply Plan'!A:A,'JZ_BRAND SPLITS'!C35,'5 Year Supply Plan'!L:L)</f>
        <v>142365</v>
      </c>
      <c r="O35" s="35">
        <f t="shared" si="5"/>
        <v>0</v>
      </c>
      <c r="P35" s="35">
        <f>SUMIF('5 Year Supply Plan'!A:A,'JZ_BRAND SPLITS'!C35,'5 Year Supply Plan'!M:M)</f>
        <v>259108</v>
      </c>
      <c r="Q35" s="35">
        <f t="shared" si="6"/>
        <v>0</v>
      </c>
      <c r="R35" s="35">
        <f>SUMIF('5 Year Supply Plan'!A:A,'JZ_BRAND SPLITS'!C35,'5 Year Supply Plan'!N:N)</f>
        <v>262748</v>
      </c>
      <c r="S35" s="35">
        <f t="shared" si="7"/>
        <v>0</v>
      </c>
      <c r="T35" s="35">
        <f>SUMIF('5 Year Supply Plan'!A:A,'JZ_BRAND SPLITS'!C35,'5 Year Supply Plan'!O:O)</f>
        <v>267131</v>
      </c>
      <c r="U35" s="35">
        <f t="shared" si="8"/>
        <v>0</v>
      </c>
      <c r="V35" s="35">
        <f>SUMIF('5 Year Supply Plan'!A:A,'JZ_BRAND SPLITS'!C35,'5 Year Supply Plan'!P:P)</f>
        <v>261281</v>
      </c>
      <c r="W35" s="35">
        <f t="shared" si="9"/>
        <v>0</v>
      </c>
      <c r="X35" s="35">
        <f>SUMIF('5 Year Supply Plan'!A:A,'JZ_BRAND SPLITS'!C35,'5 Year Supply Plan'!Q:Q)</f>
        <v>235563</v>
      </c>
      <c r="Y35" s="35">
        <f t="shared" si="10"/>
        <v>0</v>
      </c>
      <c r="Z35" s="35">
        <f>SUMIF('5 Year Supply Plan'!A:A,'JZ_BRAND SPLITS'!C35,'5 Year Supply Plan'!R:R)</f>
        <v>225271</v>
      </c>
      <c r="AA35" s="35">
        <f t="shared" si="11"/>
        <v>0</v>
      </c>
      <c r="AB35" s="35">
        <f>SUMIF('5 Year Supply Plan'!A:A,'JZ_BRAND SPLITS'!C35,'5 Year Supply Plan'!S:S)</f>
        <v>267417</v>
      </c>
      <c r="AC35" s="35">
        <f t="shared" si="12"/>
        <v>0</v>
      </c>
      <c r="AD35" s="35">
        <f>SUMIF('5 Year Supply Plan'!A:A,'JZ_BRAND SPLITS'!C35,'5 Year Supply Plan'!T:T)</f>
        <v>262765</v>
      </c>
      <c r="AE35" s="35">
        <f t="shared" si="13"/>
        <v>0</v>
      </c>
      <c r="AF35" s="35">
        <f>SUMIF('5 Year Supply Plan'!A:A,'JZ_BRAND SPLITS'!C35,'5 Year Supply Plan'!U:U)</f>
        <v>249965</v>
      </c>
      <c r="AG35" s="35">
        <f t="shared" si="14"/>
        <v>0</v>
      </c>
      <c r="AH35" s="35">
        <f>SUMIF('5 Year Supply Plan'!A:A,'JZ_BRAND SPLITS'!C35,'5 Year Supply Plan'!V:V)</f>
        <v>273900</v>
      </c>
      <c r="AI35" s="35">
        <f t="shared" si="15"/>
        <v>0</v>
      </c>
      <c r="AJ35" s="35">
        <f>SUMIF('5 Year Supply Plan'!A:A,'JZ_BRAND SPLITS'!C35,'5 Year Supply Plan'!W:W)</f>
        <v>286162</v>
      </c>
      <c r="AK35" s="35">
        <f t="shared" si="16"/>
        <v>0</v>
      </c>
      <c r="AL35" s="35">
        <f>SUMIF('5 Year Supply Plan'!A:A,'JZ_BRAND SPLITS'!C35,'5 Year Supply Plan'!X:X)</f>
        <v>321354</v>
      </c>
      <c r="AM35" s="35">
        <f t="shared" si="17"/>
        <v>0</v>
      </c>
      <c r="AN35" s="35">
        <f>SUMIF('5 Year Supply Plan'!A:A,'JZ_BRAND SPLITS'!C35,'5 Year Supply Plan'!Y:Y)</f>
        <v>296819</v>
      </c>
      <c r="AO35" s="35">
        <f t="shared" si="18"/>
        <v>0</v>
      </c>
      <c r="AP35" s="35">
        <f>SUMIF('5 Year Supply Plan'!A:A,'JZ_BRAND SPLITS'!C35,'5 Year Supply Plan'!Z:Z)</f>
        <v>268018</v>
      </c>
      <c r="AQ35" s="35">
        <f t="shared" si="19"/>
        <v>0</v>
      </c>
      <c r="AR35" s="35">
        <f>SUMIF('5 Year Supply Plan'!A:A,'JZ_BRAND SPLITS'!C35,'5 Year Supply Plan'!AA:AA)</f>
        <v>273239</v>
      </c>
      <c r="AS35" s="35">
        <f t="shared" si="20"/>
        <v>0</v>
      </c>
      <c r="AT35" s="35">
        <f>SUMIF('5 Year Supply Plan'!A:A,'JZ_BRAND SPLITS'!C35,'5 Year Supply Plan'!AB:AB)</f>
        <v>268199</v>
      </c>
      <c r="AU35" s="35">
        <f t="shared" si="21"/>
        <v>0</v>
      </c>
      <c r="AV35" s="35">
        <f>SUMIF('5 Year Supply Plan'!A:A,'JZ_BRAND SPLITS'!C35,'5 Year Supply Plan'!AC:AC)</f>
        <v>240946</v>
      </c>
      <c r="AW35" s="35">
        <f t="shared" si="22"/>
        <v>0</v>
      </c>
      <c r="AX35" s="35">
        <f>SUMIF('5 Year Supply Plan'!A:A,'JZ_BRAND SPLITS'!C35,'5 Year Supply Plan'!AD:AD)</f>
        <v>230318</v>
      </c>
      <c r="AY35" s="35">
        <f t="shared" si="23"/>
        <v>0</v>
      </c>
      <c r="AZ35" s="35">
        <f>SUMIF('5 Year Supply Plan'!A:A,'JZ_BRAND SPLITS'!C35,'5 Year Supply Plan'!AE:AE)</f>
        <v>273429</v>
      </c>
      <c r="BA35" s="35">
        <f t="shared" si="24"/>
        <v>0</v>
      </c>
      <c r="BB35" s="35">
        <f>SUMIF('5 Year Supply Plan'!A:A,'JZ_BRAND SPLITS'!C35,'5 Year Supply Plan'!AF:AF)</f>
        <v>268682</v>
      </c>
      <c r="BC35" s="35">
        <f t="shared" si="25"/>
        <v>0</v>
      </c>
      <c r="BD35" s="35">
        <f>SUMIF('5 Year Supply Plan'!A:A,'JZ_BRAND SPLITS'!C35,'5 Year Supply Plan'!AG:AG)</f>
        <v>255680</v>
      </c>
      <c r="BE35" s="35">
        <f t="shared" si="26"/>
        <v>0</v>
      </c>
      <c r="BF35" s="35">
        <f>SUMIF('5 Year Supply Plan'!A:A,'JZ_BRAND SPLITS'!C35,'5 Year Supply Plan'!AH:AH)</f>
        <v>280032</v>
      </c>
      <c r="BG35" s="35">
        <f t="shared" si="27"/>
        <v>0</v>
      </c>
      <c r="BH35" s="35">
        <f>SUMIF('5 Year Supply Plan'!A:A,'JZ_BRAND SPLITS'!C35,'5 Year Supply Plan'!AI:AI)</f>
        <v>292479</v>
      </c>
      <c r="BI35" s="35">
        <f t="shared" si="28"/>
        <v>0</v>
      </c>
      <c r="BJ35" s="35">
        <f>SUMIF('5 Year Supply Plan'!A:A,'JZ_BRAND SPLITS'!C35,'5 Year Supply Plan'!AJ:AJ)</f>
        <v>328390</v>
      </c>
      <c r="BK35" s="35">
        <f t="shared" si="29"/>
        <v>0</v>
      </c>
      <c r="BL35" s="35">
        <f>SUMIF('5 Year Supply Plan'!A:A,'JZ_BRAND SPLITS'!C35,'5 Year Supply Plan'!AK:AK)</f>
        <v>303409</v>
      </c>
      <c r="BM35" s="35">
        <f t="shared" si="30"/>
        <v>0</v>
      </c>
      <c r="BN35" s="35">
        <f>SUMIF('5 Year Supply Plan'!A:A,'JZ_BRAND SPLITS'!C35,'5 Year Supply Plan'!AL:AL)</f>
        <v>273817</v>
      </c>
      <c r="BO35" s="35">
        <f t="shared" si="31"/>
        <v>0</v>
      </c>
      <c r="BP35" s="35">
        <f>SUMIF('5 Year Supply Plan'!A:A,'JZ_BRAND SPLITS'!C35,'5 Year Supply Plan'!AM:AM)</f>
        <v>277909</v>
      </c>
      <c r="BQ35" s="35">
        <f t="shared" si="32"/>
        <v>0</v>
      </c>
      <c r="BR35" s="35">
        <f>SUMIF('5 Year Supply Plan'!A:A,'JZ_BRAND SPLITS'!C35,'5 Year Supply Plan'!AN:AN)</f>
        <v>270924</v>
      </c>
      <c r="BS35" s="35">
        <f t="shared" si="33"/>
        <v>0</v>
      </c>
      <c r="BT35" s="35">
        <f>SUMIF('5 Year Supply Plan'!A:A,'JZ_BRAND SPLITS'!C35,'5 Year Supply Plan'!AO:AO)</f>
        <v>242486</v>
      </c>
      <c r="BU35" s="35">
        <f t="shared" si="34"/>
        <v>0</v>
      </c>
      <c r="BV35" s="35">
        <f>SUMIF('5 Year Supply Plan'!A:A,'JZ_BRAND SPLITS'!C35,'5 Year Supply Plan'!AP:AP)</f>
        <v>231946</v>
      </c>
      <c r="BW35" s="35">
        <f t="shared" si="35"/>
        <v>0</v>
      </c>
      <c r="BX35" s="35">
        <f>SUMIF('5 Year Supply Plan'!A:A,'JZ_BRAND SPLITS'!C35,'5 Year Supply Plan'!AQ:AQ)</f>
        <v>276074</v>
      </c>
      <c r="BY35" s="35">
        <f t="shared" si="36"/>
        <v>0</v>
      </c>
      <c r="BZ35" s="35">
        <f>SUMIF('5 Year Supply Plan'!A:A,'JZ_BRAND SPLITS'!C35,'5 Year Supply Plan'!AR:AR)</f>
        <v>270915</v>
      </c>
      <c r="CA35" s="35">
        <f t="shared" si="37"/>
        <v>0</v>
      </c>
      <c r="CB35" s="35">
        <f>SUMIF('5 Year Supply Plan'!A:A,'JZ_BRAND SPLITS'!C35,'5 Year Supply Plan'!AS:AS)</f>
        <v>258298</v>
      </c>
      <c r="CC35" s="35">
        <f t="shared" si="38"/>
        <v>0</v>
      </c>
      <c r="CD35" s="35">
        <f>SUMIF('5 Year Supply Plan'!A:A,'JZ_BRAND SPLITS'!C35,'5 Year Supply Plan'!AT:AT)</f>
        <v>282630</v>
      </c>
      <c r="CE35" s="35">
        <f t="shared" si="39"/>
        <v>0</v>
      </c>
      <c r="CF35" s="35">
        <f>SUMIF('5 Year Supply Plan'!A:A,'JZ_BRAND SPLITS'!C35,'5 Year Supply Plan'!AU:AU)</f>
        <v>296002</v>
      </c>
      <c r="CG35" s="35">
        <f t="shared" si="40"/>
        <v>0</v>
      </c>
      <c r="CH35" s="35">
        <f>SUMIF('5 Year Supply Plan'!A:A,'JZ_BRAND SPLITS'!C35,'5 Year Supply Plan'!AV:AV)</f>
        <v>333041</v>
      </c>
      <c r="CI35" s="35">
        <f t="shared" si="41"/>
        <v>0</v>
      </c>
      <c r="CJ35" s="35">
        <f>SUMIF('5 Year Supply Plan'!A:A,'JZ_BRAND SPLITS'!C35,'5 Year Supply Plan'!AW:AW)</f>
        <v>307502</v>
      </c>
      <c r="CK35" s="35">
        <f t="shared" si="42"/>
        <v>0</v>
      </c>
      <c r="CL35" s="35">
        <f>SUMIF('5 Year Supply Plan'!A:A,'JZ_BRAND SPLITS'!C35,'5 Year Supply Plan'!AX:AX)</f>
        <v>277173</v>
      </c>
      <c r="CM35" s="35">
        <f t="shared" si="43"/>
        <v>0</v>
      </c>
      <c r="CN35" s="35">
        <f>SUMIF('5 Year Supply Plan'!A:A,'JZ_BRAND SPLITS'!C35,'5 Year Supply Plan'!AY:AY)</f>
        <v>279507</v>
      </c>
      <c r="CO35" s="35">
        <f t="shared" si="44"/>
        <v>0</v>
      </c>
      <c r="CP35" s="35">
        <f>SUMIF('5 Year Supply Plan'!A:A,'JZ_BRAND SPLITS'!C35,'5 Year Supply Plan'!AZ:AZ)</f>
        <v>270460</v>
      </c>
      <c r="CQ35" s="35">
        <f t="shared" si="45"/>
        <v>0</v>
      </c>
      <c r="CR35" s="35">
        <f>SUMIF('5 Year Supply Plan'!A:A,'JZ_BRAND SPLITS'!C35,'5 Year Supply Plan'!BA:BA)</f>
        <v>239963</v>
      </c>
      <c r="CS35" s="35">
        <f t="shared" si="46"/>
        <v>0</v>
      </c>
      <c r="CT35" s="35">
        <f>SUMIF('5 Year Supply Plan'!A:A,'JZ_BRAND SPLITS'!C35,'5 Year Supply Plan'!BB:BB)</f>
        <v>229908</v>
      </c>
      <c r="CU35" s="35">
        <f t="shared" si="47"/>
        <v>0</v>
      </c>
      <c r="CV35" s="35">
        <f>SUMIF('5 Year Supply Plan'!A:A,'JZ_BRAND SPLITS'!C35,'5 Year Supply Plan'!BC:BC)</f>
        <v>275018</v>
      </c>
      <c r="CW35" s="35">
        <f t="shared" si="48"/>
        <v>0</v>
      </c>
      <c r="CX35" s="35">
        <f>SUMIF('5 Year Supply Plan'!A:A,'JZ_BRAND SPLITS'!C35,'5 Year Supply Plan'!BD:BD)</f>
        <v>269247</v>
      </c>
      <c r="CY35" s="35">
        <f t="shared" si="49"/>
        <v>0</v>
      </c>
      <c r="CZ35" s="35">
        <f>SUMIF('5 Year Supply Plan'!A:A,'JZ_BRAND SPLITS'!C35,'5 Year Supply Plan'!BE:BE)</f>
        <v>258031</v>
      </c>
      <c r="DA35" s="35">
        <f t="shared" si="50"/>
        <v>0</v>
      </c>
      <c r="DB35" s="35">
        <f>SUMIF('5 Year Supply Plan'!A:A,'JZ_BRAND SPLITS'!C35,'5 Year Supply Plan'!BF:BF)</f>
        <v>281553</v>
      </c>
      <c r="DC35" s="35">
        <f t="shared" si="51"/>
        <v>0</v>
      </c>
      <c r="DD35" s="35">
        <f>SUMIF('5 Year Supply Plan'!A:A,'JZ_BRAND SPLITS'!C35,'5 Year Supply Plan'!BG:BG)</f>
        <v>296398</v>
      </c>
      <c r="DE35" s="35">
        <f t="shared" si="52"/>
        <v>0</v>
      </c>
      <c r="DF35" s="35">
        <f>SUMIF('5 Year Supply Plan'!A:A,'JZ_BRAND SPLITS'!C35,'5 Year Supply Plan'!BH:BH)</f>
        <v>335247</v>
      </c>
      <c r="DG35" s="35">
        <f t="shared" si="53"/>
        <v>0</v>
      </c>
      <c r="DH35" s="35">
        <f>SUMIF('5 Year Supply Plan'!A:A,'JZ_BRAND SPLITS'!C35,'5 Year Supply Plan'!BI:BI)</f>
        <v>318415</v>
      </c>
      <c r="DI35" s="35">
        <f t="shared" si="54"/>
        <v>0</v>
      </c>
      <c r="DJ35" s="35">
        <f>SUMIF('5 Year Supply Plan'!A:A,'JZ_BRAND SPLITS'!C35,'5 Year Supply Plan'!BJ:BJ)</f>
        <v>300240</v>
      </c>
      <c r="DK35" s="35">
        <f t="shared" si="55"/>
        <v>0</v>
      </c>
      <c r="DL35" s="35">
        <f>SUMIF('5 Year Supply Plan'!A:A,'JZ_BRAND SPLITS'!C35,'5 Year Supply Plan'!BK:BK)</f>
        <v>307169</v>
      </c>
      <c r="DM35" s="35">
        <f t="shared" si="56"/>
        <v>0</v>
      </c>
      <c r="DN35" s="42">
        <f>SUMIF('5 Year Supply Plan'!A:A,'JZ_BRAND SPLITS'!C35,'5 Year Supply Plan'!BL:BL)</f>
        <v>318606</v>
      </c>
      <c r="DO35" s="35">
        <f t="shared" si="57"/>
        <v>0</v>
      </c>
      <c r="DP35" s="35">
        <f>SUMIF('5 Year Supply Plan'!A:A,'JZ_BRAND SPLITS'!C35,'5 Year Supply Plan'!BM:BM)</f>
        <v>295787.5</v>
      </c>
      <c r="DQ35" s="35">
        <f t="shared" si="58"/>
        <v>0</v>
      </c>
      <c r="DR35" s="35">
        <f>SUMIF('5 Year Supply Plan'!A:A,'JZ_BRAND SPLITS'!C35,'5 Year Supply Plan'!BN:BN)</f>
        <v>295787.5</v>
      </c>
      <c r="DS35" s="35">
        <f t="shared" si="59"/>
        <v>0</v>
      </c>
      <c r="DT35" s="39">
        <f t="shared" si="60"/>
        <v>0</v>
      </c>
      <c r="DU35" s="36">
        <f>SUMIF('5 Year Supply Plan'!A:A,'JZ_BRAND SPLITS'!C35,'5 Year Supply Plan'!BO:BO)</f>
        <v>16188374</v>
      </c>
    </row>
    <row r="36" spans="1:125" x14ac:dyDescent="0.25">
      <c r="A36" s="40" t="s">
        <v>264</v>
      </c>
      <c r="B36" s="40" t="s">
        <v>257</v>
      </c>
      <c r="C36" s="40" t="s">
        <v>102</v>
      </c>
      <c r="D36" s="40" t="str">
        <f t="shared" si="0"/>
        <v>C04BSUPERTORQUE PLUS (MODIFIED)</v>
      </c>
      <c r="E36" s="41">
        <v>0.18664184314638127</v>
      </c>
      <c r="F36" s="35">
        <f>SUMIF('5 Year Supply Plan'!A:A,'JZ_BRAND SPLITS'!C36,'5 Year Supply Plan'!H:H)</f>
        <v>7883.3085940000001</v>
      </c>
      <c r="G36" s="35">
        <f t="shared" si="1"/>
        <v>1471.3552460758674</v>
      </c>
      <c r="H36" s="35">
        <f>SUMIF('5 Year Supply Plan'!A:A,'JZ_BRAND SPLITS'!C36,'5 Year Supply Plan'!I:I)</f>
        <v>8516.9609380000002</v>
      </c>
      <c r="I36" s="35">
        <f t="shared" si="2"/>
        <v>1589.6212874740522</v>
      </c>
      <c r="J36" s="35">
        <f>SUMIF('5 Year Supply Plan'!A:A,'JZ_BRAND SPLITS'!C36,'5 Year Supply Plan'!J:J)</f>
        <v>7195.0776370000003</v>
      </c>
      <c r="K36" s="35">
        <f t="shared" si="3"/>
        <v>1342.9025517509897</v>
      </c>
      <c r="L36" s="35">
        <f>SUMIF('5 Year Supply Plan'!A:A,'JZ_BRAND SPLITS'!C36,'5 Year Supply Plan'!K:K)</f>
        <v>4588</v>
      </c>
      <c r="M36" s="35">
        <f t="shared" si="4"/>
        <v>856.31277635559729</v>
      </c>
      <c r="N36" s="35">
        <f>SUMIF('5 Year Supply Plan'!A:A,'JZ_BRAND SPLITS'!C36,'5 Year Supply Plan'!L:L)</f>
        <v>2121</v>
      </c>
      <c r="O36" s="35">
        <f t="shared" si="5"/>
        <v>395.86734931347468</v>
      </c>
      <c r="P36" s="35">
        <f>SUMIF('5 Year Supply Plan'!A:A,'JZ_BRAND SPLITS'!C36,'5 Year Supply Plan'!M:M)</f>
        <v>4792</v>
      </c>
      <c r="Q36" s="35">
        <f t="shared" si="6"/>
        <v>894.38771235745901</v>
      </c>
      <c r="R36" s="35">
        <f>SUMIF('5 Year Supply Plan'!A:A,'JZ_BRAND SPLITS'!C36,'5 Year Supply Plan'!N:N)</f>
        <v>4971</v>
      </c>
      <c r="S36" s="35">
        <f t="shared" si="7"/>
        <v>927.79660228066132</v>
      </c>
      <c r="T36" s="35">
        <f>SUMIF('5 Year Supply Plan'!A:A,'JZ_BRAND SPLITS'!C36,'5 Year Supply Plan'!O:O)</f>
        <v>2867</v>
      </c>
      <c r="U36" s="35">
        <f t="shared" si="8"/>
        <v>535.1021643006751</v>
      </c>
      <c r="V36" s="35">
        <f>SUMIF('5 Year Supply Plan'!A:A,'JZ_BRAND SPLITS'!C36,'5 Year Supply Plan'!P:P)</f>
        <v>999</v>
      </c>
      <c r="W36" s="35">
        <f t="shared" si="9"/>
        <v>186.4552013032349</v>
      </c>
      <c r="X36" s="35">
        <f>SUMIF('5 Year Supply Plan'!A:A,'JZ_BRAND SPLITS'!C36,'5 Year Supply Plan'!Q:Q)</f>
        <v>1102</v>
      </c>
      <c r="Y36" s="35">
        <f t="shared" si="10"/>
        <v>205.67931114731215</v>
      </c>
      <c r="Z36" s="35">
        <f>SUMIF('5 Year Supply Plan'!A:A,'JZ_BRAND SPLITS'!C36,'5 Year Supply Plan'!R:R)</f>
        <v>993</v>
      </c>
      <c r="AA36" s="35">
        <f t="shared" si="11"/>
        <v>185.33535024435659</v>
      </c>
      <c r="AB36" s="35">
        <f>SUMIF('5 Year Supply Plan'!A:A,'JZ_BRAND SPLITS'!C36,'5 Year Supply Plan'!S:S)</f>
        <v>1111</v>
      </c>
      <c r="AC36" s="35">
        <f t="shared" si="12"/>
        <v>207.3590877356296</v>
      </c>
      <c r="AD36" s="35">
        <f>SUMIF('5 Year Supply Plan'!A:A,'JZ_BRAND SPLITS'!C36,'5 Year Supply Plan'!T:T)</f>
        <v>994</v>
      </c>
      <c r="AE36" s="35">
        <f t="shared" si="13"/>
        <v>185.52199208750298</v>
      </c>
      <c r="AF36" s="35">
        <f>SUMIF('5 Year Supply Plan'!A:A,'JZ_BRAND SPLITS'!C36,'5 Year Supply Plan'!U:U)</f>
        <v>822</v>
      </c>
      <c r="AG36" s="35">
        <f t="shared" si="14"/>
        <v>153.4195950663254</v>
      </c>
      <c r="AH36" s="35">
        <f>SUMIF('5 Year Supply Plan'!A:A,'JZ_BRAND SPLITS'!C36,'5 Year Supply Plan'!V:V)</f>
        <v>1024</v>
      </c>
      <c r="AI36" s="35">
        <f t="shared" si="15"/>
        <v>191.12124738189442</v>
      </c>
      <c r="AJ36" s="35">
        <f>SUMIF('5 Year Supply Plan'!A:A,'JZ_BRAND SPLITS'!C36,'5 Year Supply Plan'!W:W)</f>
        <v>918</v>
      </c>
      <c r="AK36" s="35">
        <f t="shared" si="16"/>
        <v>171.337212008378</v>
      </c>
      <c r="AL36" s="35">
        <f>SUMIF('5 Year Supply Plan'!A:A,'JZ_BRAND SPLITS'!C36,'5 Year Supply Plan'!X:X)</f>
        <v>951</v>
      </c>
      <c r="AM36" s="35">
        <f t="shared" si="17"/>
        <v>177.49639283220858</v>
      </c>
      <c r="AN36" s="35">
        <f>SUMIF('5 Year Supply Plan'!A:A,'JZ_BRAND SPLITS'!C36,'5 Year Supply Plan'!Y:Y)</f>
        <v>885</v>
      </c>
      <c r="AO36" s="35">
        <f t="shared" si="18"/>
        <v>165.17803118454742</v>
      </c>
      <c r="AP36" s="35">
        <f>SUMIF('5 Year Supply Plan'!A:A,'JZ_BRAND SPLITS'!C36,'5 Year Supply Plan'!Z:Z)</f>
        <v>805</v>
      </c>
      <c r="AQ36" s="35">
        <f t="shared" si="19"/>
        <v>150.24668373283691</v>
      </c>
      <c r="AR36" s="35">
        <f>SUMIF('5 Year Supply Plan'!A:A,'JZ_BRAND SPLITS'!C36,'5 Year Supply Plan'!AA:AA)</f>
        <v>858</v>
      </c>
      <c r="AS36" s="35">
        <f t="shared" si="20"/>
        <v>160.13870141959512</v>
      </c>
      <c r="AT36" s="35">
        <f>SUMIF('5 Year Supply Plan'!A:A,'JZ_BRAND SPLITS'!C36,'5 Year Supply Plan'!AB:AB)</f>
        <v>1028</v>
      </c>
      <c r="AU36" s="35">
        <f t="shared" si="21"/>
        <v>191.86781475447995</v>
      </c>
      <c r="AV36" s="35">
        <f>SUMIF('5 Year Supply Plan'!A:A,'JZ_BRAND SPLITS'!C36,'5 Year Supply Plan'!AC:AC)</f>
        <v>1181</v>
      </c>
      <c r="AW36" s="35">
        <f t="shared" si="22"/>
        <v>220.42401675587627</v>
      </c>
      <c r="AX36" s="35">
        <f>SUMIF('5 Year Supply Plan'!A:A,'JZ_BRAND SPLITS'!C36,'5 Year Supply Plan'!AD:AD)</f>
        <v>1063</v>
      </c>
      <c r="AY36" s="35">
        <f t="shared" si="23"/>
        <v>198.40027926460328</v>
      </c>
      <c r="AZ36" s="35">
        <f>SUMIF('5 Year Supply Plan'!A:A,'JZ_BRAND SPLITS'!C36,'5 Year Supply Plan'!AE:AE)</f>
        <v>1191</v>
      </c>
      <c r="BA36" s="35">
        <f t="shared" si="24"/>
        <v>222.29043518734008</v>
      </c>
      <c r="BB36" s="35">
        <f>SUMIF('5 Year Supply Plan'!A:A,'JZ_BRAND SPLITS'!C36,'5 Year Supply Plan'!AF:AF)</f>
        <v>1063</v>
      </c>
      <c r="BC36" s="35">
        <f t="shared" si="25"/>
        <v>198.40027926460328</v>
      </c>
      <c r="BD36" s="35">
        <f>SUMIF('5 Year Supply Plan'!A:A,'JZ_BRAND SPLITS'!C36,'5 Year Supply Plan'!AG:AG)</f>
        <v>880</v>
      </c>
      <c r="BE36" s="35">
        <f t="shared" si="26"/>
        <v>164.24482196881553</v>
      </c>
      <c r="BF36" s="35">
        <f>SUMIF('5 Year Supply Plan'!A:A,'JZ_BRAND SPLITS'!C36,'5 Year Supply Plan'!AH:AH)</f>
        <v>1097</v>
      </c>
      <c r="BG36" s="35">
        <f t="shared" si="27"/>
        <v>204.74610193158026</v>
      </c>
      <c r="BH36" s="35">
        <f>SUMIF('5 Year Supply Plan'!A:A,'JZ_BRAND SPLITS'!C36,'5 Year Supply Plan'!AI:AI)</f>
        <v>983</v>
      </c>
      <c r="BI36" s="35">
        <f t="shared" si="28"/>
        <v>183.46893181289278</v>
      </c>
      <c r="BJ36" s="35">
        <f>SUMIF('5 Year Supply Plan'!A:A,'JZ_BRAND SPLITS'!C36,'5 Year Supply Plan'!AJ:AJ)</f>
        <v>1018</v>
      </c>
      <c r="BK36" s="35">
        <f t="shared" si="29"/>
        <v>190.00139632301614</v>
      </c>
      <c r="BL36" s="35">
        <f>SUMIF('5 Year Supply Plan'!A:A,'JZ_BRAND SPLITS'!C36,'5 Year Supply Plan'!AK:AK)</f>
        <v>948</v>
      </c>
      <c r="BM36" s="35">
        <f t="shared" si="30"/>
        <v>176.93646730276944</v>
      </c>
      <c r="BN36" s="35">
        <f>SUMIF('5 Year Supply Plan'!A:A,'JZ_BRAND SPLITS'!C36,'5 Year Supply Plan'!AL:AL)</f>
        <v>862</v>
      </c>
      <c r="BO36" s="35">
        <f t="shared" si="31"/>
        <v>160.88526879218065</v>
      </c>
      <c r="BP36" s="35">
        <f>SUMIF('5 Year Supply Plan'!A:A,'JZ_BRAND SPLITS'!C36,'5 Year Supply Plan'!AM:AM)</f>
        <v>918</v>
      </c>
      <c r="BQ36" s="35">
        <f t="shared" si="32"/>
        <v>171.337212008378</v>
      </c>
      <c r="BR36" s="35">
        <f>SUMIF('5 Year Supply Plan'!A:A,'JZ_BRAND SPLITS'!C36,'5 Year Supply Plan'!AN:AN)</f>
        <v>1099</v>
      </c>
      <c r="BS36" s="35">
        <f t="shared" si="33"/>
        <v>205.11938561787301</v>
      </c>
      <c r="BT36" s="35">
        <f>SUMIF('5 Year Supply Plan'!A:A,'JZ_BRAND SPLITS'!C36,'5 Year Supply Plan'!AO:AO)</f>
        <v>1261</v>
      </c>
      <c r="BU36" s="35">
        <f t="shared" si="34"/>
        <v>235.35536420758677</v>
      </c>
      <c r="BV36" s="35">
        <f>SUMIF('5 Year Supply Plan'!A:A,'JZ_BRAND SPLITS'!C36,'5 Year Supply Plan'!AP:AP)</f>
        <v>1135</v>
      </c>
      <c r="BW36" s="35">
        <f t="shared" si="35"/>
        <v>211.83849197114273</v>
      </c>
      <c r="BX36" s="35">
        <f>SUMIF('5 Year Supply Plan'!A:A,'JZ_BRAND SPLITS'!C36,'5 Year Supply Plan'!AQ:AQ)</f>
        <v>1269</v>
      </c>
      <c r="BY36" s="35">
        <f t="shared" si="36"/>
        <v>236.84849895275784</v>
      </c>
      <c r="BZ36" s="35">
        <f>SUMIF('5 Year Supply Plan'!A:A,'JZ_BRAND SPLITS'!C36,'5 Year Supply Plan'!AR:AR)</f>
        <v>1135</v>
      </c>
      <c r="CA36" s="35">
        <f t="shared" si="37"/>
        <v>211.83849197114273</v>
      </c>
      <c r="CB36" s="35">
        <f>SUMIF('5 Year Supply Plan'!A:A,'JZ_BRAND SPLITS'!C36,'5 Year Supply Plan'!AS:AS)</f>
        <v>940</v>
      </c>
      <c r="CC36" s="35">
        <f t="shared" si="38"/>
        <v>175.44333255759838</v>
      </c>
      <c r="CD36" s="35">
        <f>SUMIF('5 Year Supply Plan'!A:A,'JZ_BRAND SPLITS'!C36,'5 Year Supply Plan'!AT:AT)</f>
        <v>1170</v>
      </c>
      <c r="CE36" s="35">
        <f t="shared" si="39"/>
        <v>218.37095648126609</v>
      </c>
      <c r="CF36" s="35">
        <f>SUMIF('5 Year Supply Plan'!A:A,'JZ_BRAND SPLITS'!C36,'5 Year Supply Plan'!AU:AU)</f>
        <v>1049</v>
      </c>
      <c r="CG36" s="35">
        <f t="shared" si="40"/>
        <v>195.78729346055394</v>
      </c>
      <c r="CH36" s="35">
        <f>SUMIF('5 Year Supply Plan'!A:A,'JZ_BRAND SPLITS'!C36,'5 Year Supply Plan'!AV:AV)</f>
        <v>1086</v>
      </c>
      <c r="CI36" s="35">
        <f t="shared" si="41"/>
        <v>202.69304165697005</v>
      </c>
      <c r="CJ36" s="35">
        <f>SUMIF('5 Year Supply Plan'!A:A,'JZ_BRAND SPLITS'!C36,'5 Year Supply Plan'!AW:AW)</f>
        <v>1012</v>
      </c>
      <c r="CK36" s="35">
        <f t="shared" si="42"/>
        <v>188.88154526413786</v>
      </c>
      <c r="CL36" s="35">
        <f>SUMIF('5 Year Supply Plan'!A:A,'JZ_BRAND SPLITS'!C36,'5 Year Supply Plan'!AX:AX)</f>
        <v>919</v>
      </c>
      <c r="CM36" s="35">
        <f t="shared" si="43"/>
        <v>171.52385385152439</v>
      </c>
      <c r="CN36" s="35">
        <f>SUMIF('5 Year Supply Plan'!A:A,'JZ_BRAND SPLITS'!C36,'5 Year Supply Plan'!AY:AY)</f>
        <v>980</v>
      </c>
      <c r="CO36" s="35">
        <f t="shared" si="44"/>
        <v>182.90900628345364</v>
      </c>
      <c r="CP36" s="35">
        <f>SUMIF('5 Year Supply Plan'!A:A,'JZ_BRAND SPLITS'!C36,'5 Year Supply Plan'!AZ:AZ)</f>
        <v>1176</v>
      </c>
      <c r="CQ36" s="35">
        <f t="shared" si="45"/>
        <v>219.49080754014437</v>
      </c>
      <c r="CR36" s="35">
        <f>SUMIF('5 Year Supply Plan'!A:A,'JZ_BRAND SPLITS'!C36,'5 Year Supply Plan'!BA:BA)</f>
        <v>1351</v>
      </c>
      <c r="CS36" s="35">
        <f t="shared" si="46"/>
        <v>252.1531300907611</v>
      </c>
      <c r="CT36" s="35">
        <f>SUMIF('5 Year Supply Plan'!A:A,'JZ_BRAND SPLITS'!C36,'5 Year Supply Plan'!BB:BB)</f>
        <v>1217</v>
      </c>
      <c r="CU36" s="35">
        <f t="shared" si="47"/>
        <v>227.14312310914602</v>
      </c>
      <c r="CV36" s="35">
        <f>SUMIF('5 Year Supply Plan'!A:A,'JZ_BRAND SPLITS'!C36,'5 Year Supply Plan'!BC:BC)</f>
        <v>1361</v>
      </c>
      <c r="CW36" s="35">
        <f t="shared" si="48"/>
        <v>254.01954852222491</v>
      </c>
      <c r="CX36" s="35">
        <f>SUMIF('5 Year Supply Plan'!A:A,'JZ_BRAND SPLITS'!C36,'5 Year Supply Plan'!BD:BD)</f>
        <v>1217</v>
      </c>
      <c r="CY36" s="35">
        <f t="shared" si="49"/>
        <v>227.14312310914602</v>
      </c>
      <c r="CZ36" s="35">
        <f>SUMIF('5 Year Supply Plan'!A:A,'JZ_BRAND SPLITS'!C36,'5 Year Supply Plan'!BE:BE)</f>
        <v>1007</v>
      </c>
      <c r="DA36" s="35">
        <f t="shared" si="50"/>
        <v>187.94833604840593</v>
      </c>
      <c r="DB36" s="35">
        <f>SUMIF('5 Year Supply Plan'!A:A,'JZ_BRAND SPLITS'!C36,'5 Year Supply Plan'!BF:BF)</f>
        <v>1254</v>
      </c>
      <c r="DC36" s="35">
        <f t="shared" si="51"/>
        <v>234.0488713055621</v>
      </c>
      <c r="DD36" s="35">
        <f>SUMIF('5 Year Supply Plan'!A:A,'JZ_BRAND SPLITS'!C36,'5 Year Supply Plan'!BG:BG)</f>
        <v>1125</v>
      </c>
      <c r="DE36" s="35">
        <f t="shared" si="52"/>
        <v>209.97207353967892</v>
      </c>
      <c r="DF36" s="35">
        <f>SUMIF('5 Year Supply Plan'!A:A,'JZ_BRAND SPLITS'!C36,'5 Year Supply Plan'!BH:BH)</f>
        <v>1165</v>
      </c>
      <c r="DG36" s="35">
        <f t="shared" si="53"/>
        <v>217.43774726553417</v>
      </c>
      <c r="DH36" s="35">
        <f>SUMIF('5 Year Supply Plan'!A:A,'JZ_BRAND SPLITS'!C36,'5 Year Supply Plan'!BI:BI)</f>
        <v>1025</v>
      </c>
      <c r="DI36" s="35">
        <f t="shared" si="54"/>
        <v>191.30788922504081</v>
      </c>
      <c r="DJ36" s="35">
        <f>SUMIF('5 Year Supply Plan'!A:A,'JZ_BRAND SPLITS'!C36,'5 Year Supply Plan'!BJ:BJ)</f>
        <v>1784</v>
      </c>
      <c r="DK36" s="35">
        <f t="shared" si="55"/>
        <v>332.96904817314419</v>
      </c>
      <c r="DL36" s="35">
        <f>SUMIF('5 Year Supply Plan'!A:A,'JZ_BRAND SPLITS'!C36,'5 Year Supply Plan'!BK:BK)</f>
        <v>4220</v>
      </c>
      <c r="DM36" s="35">
        <f t="shared" si="56"/>
        <v>787.628578077729</v>
      </c>
      <c r="DN36" s="42">
        <f>SUMIF('5 Year Supply Plan'!A:A,'JZ_BRAND SPLITS'!C36,'5 Year Supply Plan'!BL:BL)</f>
        <v>6862</v>
      </c>
      <c r="DO36" s="35">
        <f t="shared" si="57"/>
        <v>1280.7363276704682</v>
      </c>
      <c r="DP36" s="35">
        <f>SUMIF('5 Year Supply Plan'!A:A,'JZ_BRAND SPLITS'!C36,'5 Year Supply Plan'!BM:BM)</f>
        <v>1599.625</v>
      </c>
      <c r="DQ36" s="35">
        <f t="shared" si="58"/>
        <v>298.55695834303015</v>
      </c>
      <c r="DR36" s="35">
        <f>SUMIF('5 Year Supply Plan'!A:A,'JZ_BRAND SPLITS'!C36,'5 Year Supply Plan'!BN:BN)</f>
        <v>1599.625</v>
      </c>
      <c r="DS36" s="35">
        <f t="shared" si="59"/>
        <v>298.55695834303015</v>
      </c>
      <c r="DT36" s="39">
        <f t="shared" si="60"/>
        <v>20091.359304058184</v>
      </c>
      <c r="DU36" s="36">
        <f>SUMIF('5 Year Supply Plan'!A:A,'JZ_BRAND SPLITS'!C36,'5 Year Supply Plan'!BO:BO)</f>
        <v>107646.597169</v>
      </c>
    </row>
    <row r="37" spans="1:125" x14ac:dyDescent="0.25">
      <c r="A37" s="40" t="s">
        <v>266</v>
      </c>
      <c r="B37" s="40" t="s">
        <v>257</v>
      </c>
      <c r="C37" s="40" t="s">
        <v>101</v>
      </c>
      <c r="D37" s="40" t="str">
        <f t="shared" si="0"/>
        <v>C04CSUPERTORQUE PLUS</v>
      </c>
      <c r="E37" s="41">
        <v>9.0101384887248254E-3</v>
      </c>
      <c r="F37" s="35">
        <f>SUMIF('5 Year Supply Plan'!A:A,'JZ_BRAND SPLITS'!C37,'5 Year Supply Plan'!H:H)</f>
        <v>272655.75</v>
      </c>
      <c r="G37" s="35">
        <f t="shared" si="1"/>
        <v>2456.6660672471339</v>
      </c>
      <c r="H37" s="35">
        <f>SUMIF('5 Year Supply Plan'!A:A,'JZ_BRAND SPLITS'!C37,'5 Year Supply Plan'!I:I)</f>
        <v>347864.875</v>
      </c>
      <c r="I37" s="35">
        <f t="shared" si="2"/>
        <v>3134.3106991129503</v>
      </c>
      <c r="J37" s="35">
        <f>SUMIF('5 Year Supply Plan'!A:A,'JZ_BRAND SPLITS'!C37,'5 Year Supply Plan'!J:J)</f>
        <v>289887.375</v>
      </c>
      <c r="K37" s="35">
        <f t="shared" si="3"/>
        <v>2611.9253948829069</v>
      </c>
      <c r="L37" s="35">
        <f>SUMIF('5 Year Supply Plan'!A:A,'JZ_BRAND SPLITS'!C37,'5 Year Supply Plan'!K:K)</f>
        <v>213242</v>
      </c>
      <c r="M37" s="35">
        <f t="shared" si="4"/>
        <v>1921.3399516126592</v>
      </c>
      <c r="N37" s="35">
        <f>SUMIF('5 Year Supply Plan'!A:A,'JZ_BRAND SPLITS'!C37,'5 Year Supply Plan'!L:L)</f>
        <v>142365</v>
      </c>
      <c r="O37" s="35">
        <f t="shared" si="5"/>
        <v>1282.7283659473098</v>
      </c>
      <c r="P37" s="35">
        <f>SUMIF('5 Year Supply Plan'!A:A,'JZ_BRAND SPLITS'!C37,'5 Year Supply Plan'!M:M)</f>
        <v>259108</v>
      </c>
      <c r="Q37" s="35">
        <f t="shared" si="6"/>
        <v>2334.5989635365122</v>
      </c>
      <c r="R37" s="35">
        <f>SUMIF('5 Year Supply Plan'!A:A,'JZ_BRAND SPLITS'!C37,'5 Year Supply Plan'!N:N)</f>
        <v>262748</v>
      </c>
      <c r="S37" s="35">
        <f t="shared" si="7"/>
        <v>2367.3958676354705</v>
      </c>
      <c r="T37" s="35">
        <f>SUMIF('5 Year Supply Plan'!A:A,'JZ_BRAND SPLITS'!C37,'5 Year Supply Plan'!O:O)</f>
        <v>267131</v>
      </c>
      <c r="U37" s="35">
        <f t="shared" si="8"/>
        <v>2406.8873046315512</v>
      </c>
      <c r="V37" s="35">
        <f>SUMIF('5 Year Supply Plan'!A:A,'JZ_BRAND SPLITS'!C37,'5 Year Supply Plan'!P:P)</f>
        <v>261281</v>
      </c>
      <c r="W37" s="35">
        <f t="shared" si="9"/>
        <v>2354.1779944725113</v>
      </c>
      <c r="X37" s="35">
        <f>SUMIF('5 Year Supply Plan'!A:A,'JZ_BRAND SPLITS'!C37,'5 Year Supply Plan'!Q:Q)</f>
        <v>235563</v>
      </c>
      <c r="Y37" s="35">
        <f t="shared" si="10"/>
        <v>2122.4552528194858</v>
      </c>
      <c r="Z37" s="35">
        <f>SUMIF('5 Year Supply Plan'!A:A,'JZ_BRAND SPLITS'!C37,'5 Year Supply Plan'!R:R)</f>
        <v>225271</v>
      </c>
      <c r="AA37" s="35">
        <f t="shared" si="11"/>
        <v>2029.7229074935301</v>
      </c>
      <c r="AB37" s="35">
        <f>SUMIF('5 Year Supply Plan'!A:A,'JZ_BRAND SPLITS'!C37,'5 Year Supply Plan'!S:S)</f>
        <v>267417</v>
      </c>
      <c r="AC37" s="35">
        <f t="shared" si="12"/>
        <v>2409.4642042393266</v>
      </c>
      <c r="AD37" s="35">
        <f>SUMIF('5 Year Supply Plan'!A:A,'JZ_BRAND SPLITS'!C37,'5 Year Supply Plan'!T:T)</f>
        <v>262765</v>
      </c>
      <c r="AE37" s="35">
        <f t="shared" si="13"/>
        <v>2367.5490399897785</v>
      </c>
      <c r="AF37" s="35">
        <f>SUMIF('5 Year Supply Plan'!A:A,'JZ_BRAND SPLITS'!C37,'5 Year Supply Plan'!U:U)</f>
        <v>249965</v>
      </c>
      <c r="AG37" s="35">
        <f t="shared" si="14"/>
        <v>2252.219267334101</v>
      </c>
      <c r="AH37" s="35">
        <f>SUMIF('5 Year Supply Plan'!A:A,'JZ_BRAND SPLITS'!C37,'5 Year Supply Plan'!V:V)</f>
        <v>273900</v>
      </c>
      <c r="AI37" s="35">
        <f t="shared" si="15"/>
        <v>2467.8769320617298</v>
      </c>
      <c r="AJ37" s="35">
        <f>SUMIF('5 Year Supply Plan'!A:A,'JZ_BRAND SPLITS'!C37,'5 Year Supply Plan'!W:W)</f>
        <v>286162</v>
      </c>
      <c r="AK37" s="35">
        <f t="shared" si="16"/>
        <v>2578.3592502104734</v>
      </c>
      <c r="AL37" s="35">
        <f>SUMIF('5 Year Supply Plan'!A:A,'JZ_BRAND SPLITS'!C37,'5 Year Supply Plan'!X:X)</f>
        <v>321354</v>
      </c>
      <c r="AM37" s="35">
        <f t="shared" si="17"/>
        <v>2895.4440439056775</v>
      </c>
      <c r="AN37" s="35">
        <f>SUMIF('5 Year Supply Plan'!A:A,'JZ_BRAND SPLITS'!C37,'5 Year Supply Plan'!Y:Y)</f>
        <v>296819</v>
      </c>
      <c r="AO37" s="35">
        <f t="shared" si="18"/>
        <v>2674.3802960848138</v>
      </c>
      <c r="AP37" s="35">
        <f>SUMIF('5 Year Supply Plan'!A:A,'JZ_BRAND SPLITS'!C37,'5 Year Supply Plan'!Z:Z)</f>
        <v>268018</v>
      </c>
      <c r="AQ37" s="35">
        <f t="shared" si="19"/>
        <v>2414.8792974710504</v>
      </c>
      <c r="AR37" s="35">
        <f>SUMIF('5 Year Supply Plan'!A:A,'JZ_BRAND SPLITS'!C37,'5 Year Supply Plan'!AA:AA)</f>
        <v>273239</v>
      </c>
      <c r="AS37" s="35">
        <f t="shared" si="20"/>
        <v>2461.9212305206825</v>
      </c>
      <c r="AT37" s="35">
        <f>SUMIF('5 Year Supply Plan'!A:A,'JZ_BRAND SPLITS'!C37,'5 Year Supply Plan'!AB:AB)</f>
        <v>268199</v>
      </c>
      <c r="AU37" s="35">
        <f t="shared" si="21"/>
        <v>2416.5101325375094</v>
      </c>
      <c r="AV37" s="35">
        <f>SUMIF('5 Year Supply Plan'!A:A,'JZ_BRAND SPLITS'!C37,'5 Year Supply Plan'!AC:AC)</f>
        <v>240946</v>
      </c>
      <c r="AW37" s="35">
        <f t="shared" si="22"/>
        <v>2170.9568283042918</v>
      </c>
      <c r="AX37" s="35">
        <f>SUMIF('5 Year Supply Plan'!A:A,'JZ_BRAND SPLITS'!C37,'5 Year Supply Plan'!AD:AD)</f>
        <v>230318</v>
      </c>
      <c r="AY37" s="35">
        <f t="shared" si="23"/>
        <v>2075.1970764461244</v>
      </c>
      <c r="AZ37" s="35">
        <f>SUMIF('5 Year Supply Plan'!A:A,'JZ_BRAND SPLITS'!C37,'5 Year Supply Plan'!AE:AE)</f>
        <v>273429</v>
      </c>
      <c r="BA37" s="35">
        <f t="shared" si="24"/>
        <v>2463.6331568335404</v>
      </c>
      <c r="BB37" s="35">
        <f>SUMIF('5 Year Supply Plan'!A:A,'JZ_BRAND SPLITS'!C37,'5 Year Supply Plan'!AF:AF)</f>
        <v>268682</v>
      </c>
      <c r="BC37" s="35">
        <f t="shared" si="25"/>
        <v>2420.8620294275634</v>
      </c>
      <c r="BD37" s="35">
        <f>SUMIF('5 Year Supply Plan'!A:A,'JZ_BRAND SPLITS'!C37,'5 Year Supply Plan'!AG:AG)</f>
        <v>255680</v>
      </c>
      <c r="BE37" s="35">
        <f t="shared" si="26"/>
        <v>2303.7122087971634</v>
      </c>
      <c r="BF37" s="35">
        <f>SUMIF('5 Year Supply Plan'!A:A,'JZ_BRAND SPLITS'!C37,'5 Year Supply Plan'!AH:AH)</f>
        <v>280032</v>
      </c>
      <c r="BG37" s="35">
        <f t="shared" si="27"/>
        <v>2523.1271012745901</v>
      </c>
      <c r="BH37" s="35">
        <f>SUMIF('5 Year Supply Plan'!A:A,'JZ_BRAND SPLITS'!C37,'5 Year Supply Plan'!AI:AI)</f>
        <v>292479</v>
      </c>
      <c r="BI37" s="35">
        <f t="shared" si="28"/>
        <v>2635.2762950437482</v>
      </c>
      <c r="BJ37" s="35">
        <f>SUMIF('5 Year Supply Plan'!A:A,'JZ_BRAND SPLITS'!C37,'5 Year Supply Plan'!AJ:AJ)</f>
        <v>328390</v>
      </c>
      <c r="BK37" s="35">
        <f t="shared" si="29"/>
        <v>2958.8393783123456</v>
      </c>
      <c r="BL37" s="35">
        <f>SUMIF('5 Year Supply Plan'!A:A,'JZ_BRAND SPLITS'!C37,'5 Year Supply Plan'!AK:AK)</f>
        <v>303409</v>
      </c>
      <c r="BM37" s="35">
        <f t="shared" si="30"/>
        <v>2733.7571087255105</v>
      </c>
      <c r="BN37" s="35">
        <f>SUMIF('5 Year Supply Plan'!A:A,'JZ_BRAND SPLITS'!C37,'5 Year Supply Plan'!AL:AL)</f>
        <v>273817</v>
      </c>
      <c r="BO37" s="35">
        <f t="shared" si="31"/>
        <v>2467.1290905671653</v>
      </c>
      <c r="BP37" s="35">
        <f>SUMIF('5 Year Supply Plan'!A:A,'JZ_BRAND SPLITS'!C37,'5 Year Supply Plan'!AM:AM)</f>
        <v>277909</v>
      </c>
      <c r="BQ37" s="35">
        <f t="shared" si="32"/>
        <v>2503.9985772630275</v>
      </c>
      <c r="BR37" s="35">
        <f>SUMIF('5 Year Supply Plan'!A:A,'JZ_BRAND SPLITS'!C37,'5 Year Supply Plan'!AN:AN)</f>
        <v>270924</v>
      </c>
      <c r="BS37" s="35">
        <f t="shared" si="33"/>
        <v>2441.0627599192844</v>
      </c>
      <c r="BT37" s="35">
        <f>SUMIF('5 Year Supply Plan'!A:A,'JZ_BRAND SPLITS'!C37,'5 Year Supply Plan'!AO:AO)</f>
        <v>242486</v>
      </c>
      <c r="BU37" s="35">
        <f t="shared" si="34"/>
        <v>2184.832441576928</v>
      </c>
      <c r="BV37" s="35">
        <f>SUMIF('5 Year Supply Plan'!A:A,'JZ_BRAND SPLITS'!C37,'5 Year Supply Plan'!AP:AP)</f>
        <v>231946</v>
      </c>
      <c r="BW37" s="35">
        <f t="shared" si="35"/>
        <v>2089.8655819057685</v>
      </c>
      <c r="BX37" s="35">
        <f>SUMIF('5 Year Supply Plan'!A:A,'JZ_BRAND SPLITS'!C37,'5 Year Supply Plan'!AQ:AQ)</f>
        <v>276074</v>
      </c>
      <c r="BY37" s="35">
        <f t="shared" si="36"/>
        <v>2487.4649731362174</v>
      </c>
      <c r="BZ37" s="35">
        <f>SUMIF('5 Year Supply Plan'!A:A,'JZ_BRAND SPLITS'!C37,'5 Year Supply Plan'!AR:AR)</f>
        <v>270915</v>
      </c>
      <c r="CA37" s="35">
        <f t="shared" si="37"/>
        <v>2440.9816686728859</v>
      </c>
      <c r="CB37" s="35">
        <f>SUMIF('5 Year Supply Plan'!A:A,'JZ_BRAND SPLITS'!C37,'5 Year Supply Plan'!AS:AS)</f>
        <v>258298</v>
      </c>
      <c r="CC37" s="35">
        <f t="shared" si="38"/>
        <v>2327.3007513606449</v>
      </c>
      <c r="CD37" s="35">
        <f>SUMIF('5 Year Supply Plan'!A:A,'JZ_BRAND SPLITS'!C37,'5 Year Supply Plan'!AT:AT)</f>
        <v>282630</v>
      </c>
      <c r="CE37" s="35">
        <f t="shared" si="39"/>
        <v>2546.5354410682976</v>
      </c>
      <c r="CF37" s="35">
        <f>SUMIF('5 Year Supply Plan'!A:A,'JZ_BRAND SPLITS'!C37,'5 Year Supply Plan'!AU:AU)</f>
        <v>296002</v>
      </c>
      <c r="CG37" s="35">
        <f t="shared" si="40"/>
        <v>2667.019012939526</v>
      </c>
      <c r="CH37" s="35">
        <f>SUMIF('5 Year Supply Plan'!A:A,'JZ_BRAND SPLITS'!C37,'5 Year Supply Plan'!AV:AV)</f>
        <v>333041</v>
      </c>
      <c r="CI37" s="35">
        <f t="shared" si="41"/>
        <v>3000.7455324234047</v>
      </c>
      <c r="CJ37" s="35">
        <f>SUMIF('5 Year Supply Plan'!A:A,'JZ_BRAND SPLITS'!C37,'5 Year Supply Plan'!AW:AW)</f>
        <v>307502</v>
      </c>
      <c r="CK37" s="35">
        <f t="shared" si="42"/>
        <v>2770.6356055598612</v>
      </c>
      <c r="CL37" s="35">
        <f>SUMIF('5 Year Supply Plan'!A:A,'JZ_BRAND SPLITS'!C37,'5 Year Supply Plan'!AX:AX)</f>
        <v>277173</v>
      </c>
      <c r="CM37" s="35">
        <f t="shared" si="43"/>
        <v>2497.3671153353262</v>
      </c>
      <c r="CN37" s="35">
        <f>SUMIF('5 Year Supply Plan'!A:A,'JZ_BRAND SPLITS'!C37,'5 Year Supply Plan'!AY:AY)</f>
        <v>279507</v>
      </c>
      <c r="CO37" s="35">
        <f t="shared" si="44"/>
        <v>2518.3967785680097</v>
      </c>
      <c r="CP37" s="35">
        <f>SUMIF('5 Year Supply Plan'!A:A,'JZ_BRAND SPLITS'!C37,'5 Year Supply Plan'!AZ:AZ)</f>
        <v>270460</v>
      </c>
      <c r="CQ37" s="35">
        <f t="shared" si="45"/>
        <v>2436.8820556605165</v>
      </c>
      <c r="CR37" s="35">
        <f>SUMIF('5 Year Supply Plan'!A:A,'JZ_BRAND SPLITS'!C37,'5 Year Supply Plan'!BA:BA)</f>
        <v>239963</v>
      </c>
      <c r="CS37" s="35">
        <f t="shared" si="46"/>
        <v>2162.0998621698755</v>
      </c>
      <c r="CT37" s="35">
        <f>SUMIF('5 Year Supply Plan'!A:A,'JZ_BRAND SPLITS'!C37,'5 Year Supply Plan'!BB:BB)</f>
        <v>229908</v>
      </c>
      <c r="CU37" s="35">
        <f t="shared" si="47"/>
        <v>2071.502919665747</v>
      </c>
      <c r="CV37" s="35">
        <f>SUMIF('5 Year Supply Plan'!A:A,'JZ_BRAND SPLITS'!C37,'5 Year Supply Plan'!BC:BC)</f>
        <v>275018</v>
      </c>
      <c r="CW37" s="35">
        <f t="shared" si="48"/>
        <v>2477.9502668921241</v>
      </c>
      <c r="CX37" s="35">
        <f>SUMIF('5 Year Supply Plan'!A:A,'JZ_BRAND SPLITS'!C37,'5 Year Supply Plan'!BD:BD)</f>
        <v>269247</v>
      </c>
      <c r="CY37" s="35">
        <f t="shared" si="49"/>
        <v>2425.9527576736932</v>
      </c>
      <c r="CZ37" s="35">
        <f>SUMIF('5 Year Supply Plan'!A:A,'JZ_BRAND SPLITS'!C37,'5 Year Supply Plan'!BE:BE)</f>
        <v>258031</v>
      </c>
      <c r="DA37" s="35">
        <f t="shared" si="50"/>
        <v>2324.8950443841554</v>
      </c>
      <c r="DB37" s="35">
        <f>SUMIF('5 Year Supply Plan'!A:A,'JZ_BRAND SPLITS'!C37,'5 Year Supply Plan'!BF:BF)</f>
        <v>281553</v>
      </c>
      <c r="DC37" s="35">
        <f t="shared" si="51"/>
        <v>2536.8315219159408</v>
      </c>
      <c r="DD37" s="35">
        <f>SUMIF('5 Year Supply Plan'!A:A,'JZ_BRAND SPLITS'!C37,'5 Year Supply Plan'!BG:BG)</f>
        <v>296398</v>
      </c>
      <c r="DE37" s="35">
        <f t="shared" si="52"/>
        <v>2670.5870277810609</v>
      </c>
      <c r="DF37" s="35">
        <f>SUMIF('5 Year Supply Plan'!A:A,'JZ_BRAND SPLITS'!C37,'5 Year Supply Plan'!BH:BH)</f>
        <v>335247</v>
      </c>
      <c r="DG37" s="35">
        <f t="shared" si="53"/>
        <v>3020.6218979295313</v>
      </c>
      <c r="DH37" s="35">
        <f>SUMIF('5 Year Supply Plan'!A:A,'JZ_BRAND SPLITS'!C37,'5 Year Supply Plan'!BI:BI)</f>
        <v>318415</v>
      </c>
      <c r="DI37" s="35">
        <f t="shared" si="54"/>
        <v>2868.9632468873151</v>
      </c>
      <c r="DJ37" s="35">
        <f>SUMIF('5 Year Supply Plan'!A:A,'JZ_BRAND SPLITS'!C37,'5 Year Supply Plan'!BJ:BJ)</f>
        <v>300240</v>
      </c>
      <c r="DK37" s="35">
        <f t="shared" si="55"/>
        <v>2705.2039798547416</v>
      </c>
      <c r="DL37" s="35">
        <f>SUMIF('5 Year Supply Plan'!A:A,'JZ_BRAND SPLITS'!C37,'5 Year Supply Plan'!BK:BK)</f>
        <v>307169</v>
      </c>
      <c r="DM37" s="35">
        <f t="shared" si="56"/>
        <v>2767.6352294431158</v>
      </c>
      <c r="DN37" s="42">
        <f>SUMIF('5 Year Supply Plan'!A:A,'JZ_BRAND SPLITS'!C37,'5 Year Supply Plan'!BL:BL)</f>
        <v>318606</v>
      </c>
      <c r="DO37" s="35">
        <f t="shared" si="57"/>
        <v>2870.6841833386616</v>
      </c>
      <c r="DP37" s="35">
        <f>SUMIF('5 Year Supply Plan'!A:A,'JZ_BRAND SPLITS'!C37,'5 Year Supply Plan'!BM:BM)</f>
        <v>295787.5</v>
      </c>
      <c r="DQ37" s="35">
        <f t="shared" si="58"/>
        <v>2665.0863382336943</v>
      </c>
      <c r="DR37" s="35">
        <f>SUMIF('5 Year Supply Plan'!A:A,'JZ_BRAND SPLITS'!C37,'5 Year Supply Plan'!BN:BN)</f>
        <v>295787.5</v>
      </c>
      <c r="DS37" s="35">
        <f t="shared" si="59"/>
        <v>2665.0863382336943</v>
      </c>
      <c r="DT37" s="39">
        <f t="shared" si="60"/>
        <v>145859.49164727231</v>
      </c>
      <c r="DU37" s="36">
        <f>SUMIF('5 Year Supply Plan'!A:A,'JZ_BRAND SPLITS'!C37,'5 Year Supply Plan'!BO:BO)</f>
        <v>16188374</v>
      </c>
    </row>
    <row r="38" spans="1:125" x14ac:dyDescent="0.25">
      <c r="A38" s="40" t="s">
        <v>266</v>
      </c>
      <c r="B38" s="40" t="s">
        <v>257</v>
      </c>
      <c r="C38" s="40" t="s">
        <v>81</v>
      </c>
      <c r="D38" s="40" t="str">
        <f t="shared" si="0"/>
        <v>C04CINFINITI</v>
      </c>
      <c r="E38" s="41">
        <v>2.5914169611257327E-2</v>
      </c>
      <c r="F38" s="35">
        <f>SUMIF('5 Year Supply Plan'!A:A,'JZ_BRAND SPLITS'!C38,'5 Year Supply Plan'!H:H)</f>
        <v>694365.125</v>
      </c>
      <c r="G38" s="35">
        <f t="shared" si="1"/>
        <v>17993.895621391894</v>
      </c>
      <c r="H38" s="35">
        <f>SUMIF('5 Year Supply Plan'!A:A,'JZ_BRAND SPLITS'!C38,'5 Year Supply Plan'!I:I)</f>
        <v>824439.75</v>
      </c>
      <c r="I38" s="35">
        <f t="shared" si="2"/>
        <v>21364.671515762588</v>
      </c>
      <c r="J38" s="35">
        <f>SUMIF('5 Year Supply Plan'!A:A,'JZ_BRAND SPLITS'!C38,'5 Year Supply Plan'!J:J)</f>
        <v>685154.25</v>
      </c>
      <c r="K38" s="35">
        <f t="shared" si="3"/>
        <v>17755.203444373805</v>
      </c>
      <c r="L38" s="35">
        <f>SUMIF('5 Year Supply Plan'!A:A,'JZ_BRAND SPLITS'!C38,'5 Year Supply Plan'!K:K)</f>
        <v>652395</v>
      </c>
      <c r="M38" s="35">
        <f t="shared" si="4"/>
        <v>16906.274683536223</v>
      </c>
      <c r="N38" s="35">
        <f>SUMIF('5 Year Supply Plan'!A:A,'JZ_BRAND SPLITS'!C38,'5 Year Supply Plan'!L:L)</f>
        <v>400000</v>
      </c>
      <c r="O38" s="35">
        <f t="shared" si="5"/>
        <v>10365.66784450293</v>
      </c>
      <c r="P38" s="35">
        <f>SUMIF('5 Year Supply Plan'!A:A,'JZ_BRAND SPLITS'!C38,'5 Year Supply Plan'!M:M)</f>
        <v>650268</v>
      </c>
      <c r="Q38" s="35">
        <f t="shared" si="6"/>
        <v>16851.155244773079</v>
      </c>
      <c r="R38" s="35">
        <f>SUMIF('5 Year Supply Plan'!A:A,'JZ_BRAND SPLITS'!C38,'5 Year Supply Plan'!N:N)</f>
        <v>632412</v>
      </c>
      <c r="S38" s="35">
        <f t="shared" si="7"/>
        <v>16388.43183219447</v>
      </c>
      <c r="T38" s="35">
        <f>SUMIF('5 Year Supply Plan'!A:A,'JZ_BRAND SPLITS'!C38,'5 Year Supply Plan'!O:O)</f>
        <v>643687</v>
      </c>
      <c r="U38" s="35">
        <f t="shared" si="8"/>
        <v>16680.614094561395</v>
      </c>
      <c r="V38" s="35">
        <f>SUMIF('5 Year Supply Plan'!A:A,'JZ_BRAND SPLITS'!C38,'5 Year Supply Plan'!P:P)</f>
        <v>639404</v>
      </c>
      <c r="W38" s="35">
        <f t="shared" si="9"/>
        <v>16569.623706116381</v>
      </c>
      <c r="X38" s="35">
        <f>SUMIF('5 Year Supply Plan'!A:A,'JZ_BRAND SPLITS'!C38,'5 Year Supply Plan'!Q:Q)</f>
        <v>625246</v>
      </c>
      <c r="Y38" s="35">
        <f t="shared" si="10"/>
        <v>16202.730892760199</v>
      </c>
      <c r="Z38" s="35">
        <f>SUMIF('5 Year Supply Plan'!A:A,'JZ_BRAND SPLITS'!C38,'5 Year Supply Plan'!R:R)</f>
        <v>617521</v>
      </c>
      <c r="AA38" s="35">
        <f t="shared" si="11"/>
        <v>16002.543932513236</v>
      </c>
      <c r="AB38" s="35">
        <f>SUMIF('5 Year Supply Plan'!A:A,'JZ_BRAND SPLITS'!C38,'5 Year Supply Plan'!S:S)</f>
        <v>672459</v>
      </c>
      <c r="AC38" s="35">
        <f t="shared" si="12"/>
        <v>17426.216582616489</v>
      </c>
      <c r="AD38" s="35">
        <f>SUMIF('5 Year Supply Plan'!A:A,'JZ_BRAND SPLITS'!C38,'5 Year Supply Plan'!T:T)</f>
        <v>677531</v>
      </c>
      <c r="AE38" s="35">
        <f t="shared" si="13"/>
        <v>17557.653250884789</v>
      </c>
      <c r="AF38" s="35">
        <f>SUMIF('5 Year Supply Plan'!A:A,'JZ_BRAND SPLITS'!C38,'5 Year Supply Plan'!U:U)</f>
        <v>627555</v>
      </c>
      <c r="AG38" s="35">
        <f t="shared" si="14"/>
        <v>16262.566710392592</v>
      </c>
      <c r="AH38" s="35">
        <f>SUMIF('5 Year Supply Plan'!A:A,'JZ_BRAND SPLITS'!C38,'5 Year Supply Plan'!V:V)</f>
        <v>630297</v>
      </c>
      <c r="AI38" s="35">
        <f t="shared" si="15"/>
        <v>16333.623363466659</v>
      </c>
      <c r="AJ38" s="35">
        <f>SUMIF('5 Year Supply Plan'!A:A,'JZ_BRAND SPLITS'!C38,'5 Year Supply Plan'!W:W)</f>
        <v>626398</v>
      </c>
      <c r="AK38" s="35">
        <f t="shared" si="16"/>
        <v>16232.584016152367</v>
      </c>
      <c r="AL38" s="35">
        <f>SUMIF('5 Year Supply Plan'!A:A,'JZ_BRAND SPLITS'!C38,'5 Year Supply Plan'!X:X)</f>
        <v>698606</v>
      </c>
      <c r="AM38" s="35">
        <f t="shared" si="17"/>
        <v>18103.794375442038</v>
      </c>
      <c r="AN38" s="35">
        <f>SUMIF('5 Year Supply Plan'!A:A,'JZ_BRAND SPLITS'!C38,'5 Year Supply Plan'!Y:Y)</f>
        <v>677121</v>
      </c>
      <c r="AO38" s="35">
        <f t="shared" si="18"/>
        <v>17547.028441344173</v>
      </c>
      <c r="AP38" s="35">
        <f>SUMIF('5 Year Supply Plan'!A:A,'JZ_BRAND SPLITS'!C38,'5 Year Supply Plan'!Z:Z)</f>
        <v>601675</v>
      </c>
      <c r="AQ38" s="35">
        <f t="shared" si="19"/>
        <v>15591.908000853253</v>
      </c>
      <c r="AR38" s="35">
        <f>SUMIF('5 Year Supply Plan'!A:A,'JZ_BRAND SPLITS'!C38,'5 Year Supply Plan'!AA:AA)</f>
        <v>632136</v>
      </c>
      <c r="AS38" s="35">
        <f t="shared" si="20"/>
        <v>16381.279521381761</v>
      </c>
      <c r="AT38" s="35">
        <f>SUMIF('5 Year Supply Plan'!A:A,'JZ_BRAND SPLITS'!C38,'5 Year Supply Plan'!AB:AB)</f>
        <v>667494</v>
      </c>
      <c r="AU38" s="35">
        <f t="shared" si="21"/>
        <v>17297.552730496598</v>
      </c>
      <c r="AV38" s="35">
        <f>SUMIF('5 Year Supply Plan'!A:A,'JZ_BRAND SPLITS'!C38,'5 Year Supply Plan'!AC:AC)</f>
        <v>671189</v>
      </c>
      <c r="AW38" s="35">
        <f t="shared" si="22"/>
        <v>17393.305587210194</v>
      </c>
      <c r="AX38" s="35">
        <f>SUMIF('5 Year Supply Plan'!A:A,'JZ_BRAND SPLITS'!C38,'5 Year Supply Plan'!AD:AD)</f>
        <v>579605</v>
      </c>
      <c r="AY38" s="35">
        <f t="shared" si="23"/>
        <v>15019.982277532803</v>
      </c>
      <c r="AZ38" s="35">
        <f>SUMIF('5 Year Supply Plan'!A:A,'JZ_BRAND SPLITS'!C38,'5 Year Supply Plan'!AE:AE)</f>
        <v>718100</v>
      </c>
      <c r="BA38" s="35">
        <f t="shared" si="24"/>
        <v>18608.965197843885</v>
      </c>
      <c r="BB38" s="35">
        <f>SUMIF('5 Year Supply Plan'!A:A,'JZ_BRAND SPLITS'!C38,'5 Year Supply Plan'!AF:AF)</f>
        <v>724015</v>
      </c>
      <c r="BC38" s="35">
        <f t="shared" si="25"/>
        <v>18762.247511094472</v>
      </c>
      <c r="BD38" s="35">
        <f>SUMIF('5 Year Supply Plan'!A:A,'JZ_BRAND SPLITS'!C38,'5 Year Supply Plan'!AG:AG)</f>
        <v>670852</v>
      </c>
      <c r="BE38" s="35">
        <f t="shared" si="26"/>
        <v>17384.5725120512</v>
      </c>
      <c r="BF38" s="35">
        <f>SUMIF('5 Year Supply Plan'!A:A,'JZ_BRAND SPLITS'!C38,'5 Year Supply Plan'!AH:AH)</f>
        <v>671867</v>
      </c>
      <c r="BG38" s="35">
        <f t="shared" si="27"/>
        <v>17410.875394206625</v>
      </c>
      <c r="BH38" s="35">
        <f>SUMIF('5 Year Supply Plan'!A:A,'JZ_BRAND SPLITS'!C38,'5 Year Supply Plan'!AI:AI)</f>
        <v>668727</v>
      </c>
      <c r="BI38" s="35">
        <f t="shared" si="28"/>
        <v>17329.504901627279</v>
      </c>
      <c r="BJ38" s="35">
        <f>SUMIF('5 Year Supply Plan'!A:A,'JZ_BRAND SPLITS'!C38,'5 Year Supply Plan'!AJ:AJ)</f>
        <v>744642</v>
      </c>
      <c r="BK38" s="35">
        <f t="shared" si="29"/>
        <v>19296.77908766588</v>
      </c>
      <c r="BL38" s="35">
        <f>SUMIF('5 Year Supply Plan'!A:A,'JZ_BRAND SPLITS'!C38,'5 Year Supply Plan'!AK:AK)</f>
        <v>721918</v>
      </c>
      <c r="BM38" s="35">
        <f t="shared" si="30"/>
        <v>18707.905497419666</v>
      </c>
      <c r="BN38" s="35">
        <f>SUMIF('5 Year Supply Plan'!A:A,'JZ_BRAND SPLITS'!C38,'5 Year Supply Plan'!AL:AL)</f>
        <v>644990</v>
      </c>
      <c r="BO38" s="35">
        <f t="shared" si="31"/>
        <v>16714.380257564862</v>
      </c>
      <c r="BP38" s="35">
        <f>SUMIF('5 Year Supply Plan'!A:A,'JZ_BRAND SPLITS'!C38,'5 Year Supply Plan'!AM:AM)</f>
        <v>673843</v>
      </c>
      <c r="BQ38" s="35">
        <f t="shared" si="32"/>
        <v>17462.081793358469</v>
      </c>
      <c r="BR38" s="35">
        <f>SUMIF('5 Year Supply Plan'!A:A,'JZ_BRAND SPLITS'!C38,'5 Year Supply Plan'!AN:AN)</f>
        <v>708550</v>
      </c>
      <c r="BS38" s="35">
        <f t="shared" si="33"/>
        <v>18361.484878056381</v>
      </c>
      <c r="BT38" s="35">
        <f>SUMIF('5 Year Supply Plan'!A:A,'JZ_BRAND SPLITS'!C38,'5 Year Supply Plan'!AO:AO)</f>
        <v>719012</v>
      </c>
      <c r="BU38" s="35">
        <f t="shared" si="34"/>
        <v>18632.598920529352</v>
      </c>
      <c r="BV38" s="35">
        <f>SUMIF('5 Year Supply Plan'!A:A,'JZ_BRAND SPLITS'!C38,'5 Year Supply Plan'!AP:AP)</f>
        <v>618187</v>
      </c>
      <c r="BW38" s="35">
        <f t="shared" si="35"/>
        <v>16019.802769474332</v>
      </c>
      <c r="BX38" s="35">
        <f>SUMIF('5 Year Supply Plan'!A:A,'JZ_BRAND SPLITS'!C38,'5 Year Supply Plan'!AQ:AQ)</f>
        <v>763295</v>
      </c>
      <c r="BY38" s="35">
        <f t="shared" si="36"/>
        <v>19780.156093424663</v>
      </c>
      <c r="BZ38" s="35">
        <f>SUMIF('5 Year Supply Plan'!A:A,'JZ_BRAND SPLITS'!C38,'5 Year Supply Plan'!AR:AR)</f>
        <v>769796</v>
      </c>
      <c r="CA38" s="35">
        <f t="shared" si="37"/>
        <v>19948.624110067445</v>
      </c>
      <c r="CB38" s="35">
        <f>SUMIF('5 Year Supply Plan'!A:A,'JZ_BRAND SPLITS'!C38,'5 Year Supply Plan'!AS:AS)</f>
        <v>713937</v>
      </c>
      <c r="CC38" s="35">
        <f t="shared" si="38"/>
        <v>18501.084509752221</v>
      </c>
      <c r="CD38" s="35">
        <f>SUMIF('5 Year Supply Plan'!A:A,'JZ_BRAND SPLITS'!C38,'5 Year Supply Plan'!AT:AT)</f>
        <v>712039</v>
      </c>
      <c r="CE38" s="35">
        <f t="shared" si="39"/>
        <v>18451.899415830056</v>
      </c>
      <c r="CF38" s="35">
        <f>SUMIF('5 Year Supply Plan'!A:A,'JZ_BRAND SPLITS'!C38,'5 Year Supply Plan'!AU:AU)</f>
        <v>710212</v>
      </c>
      <c r="CG38" s="35">
        <f t="shared" si="40"/>
        <v>18404.554227950288</v>
      </c>
      <c r="CH38" s="35">
        <f>SUMIF('5 Year Supply Plan'!A:A,'JZ_BRAND SPLITS'!C38,'5 Year Supply Plan'!AV:AV)</f>
        <v>789265</v>
      </c>
      <c r="CI38" s="35">
        <f t="shared" si="41"/>
        <v>20453.147078229013</v>
      </c>
      <c r="CJ38" s="35">
        <f>SUMIF('5 Year Supply Plan'!A:A,'JZ_BRAND SPLITS'!C38,'5 Year Supply Plan'!AW:AW)</f>
        <v>765615</v>
      </c>
      <c r="CK38" s="35">
        <f t="shared" si="42"/>
        <v>19840.276966922778</v>
      </c>
      <c r="CL38" s="35">
        <f>SUMIF('5 Year Supply Plan'!A:A,'JZ_BRAND SPLITS'!C38,'5 Year Supply Plan'!AX:AX)</f>
        <v>690963</v>
      </c>
      <c r="CM38" s="35">
        <f t="shared" si="43"/>
        <v>17905.732377103195</v>
      </c>
      <c r="CN38" s="35">
        <f>SUMIF('5 Year Supply Plan'!A:A,'JZ_BRAND SPLITS'!C38,'5 Year Supply Plan'!AY:AY)</f>
        <v>712113</v>
      </c>
      <c r="CO38" s="35">
        <f t="shared" si="44"/>
        <v>18453.817064381288</v>
      </c>
      <c r="CP38" s="35">
        <f>SUMIF('5 Year Supply Plan'!A:A,'JZ_BRAND SPLITS'!C38,'5 Year Supply Plan'!AZ:AZ)</f>
        <v>749275</v>
      </c>
      <c r="CQ38" s="35">
        <f t="shared" si="45"/>
        <v>19416.839435474834</v>
      </c>
      <c r="CR38" s="35">
        <f>SUMIF('5 Year Supply Plan'!A:A,'JZ_BRAND SPLITS'!C38,'5 Year Supply Plan'!BA:BA)</f>
        <v>763112</v>
      </c>
      <c r="CS38" s="35">
        <f t="shared" si="46"/>
        <v>19775.413800385802</v>
      </c>
      <c r="CT38" s="35">
        <f>SUMIF('5 Year Supply Plan'!A:A,'JZ_BRAND SPLITS'!C38,'5 Year Supply Plan'!BB:BB)</f>
        <v>653184</v>
      </c>
      <c r="CU38" s="35">
        <f t="shared" si="47"/>
        <v>16926.720963359505</v>
      </c>
      <c r="CV38" s="35">
        <f>SUMIF('5 Year Supply Plan'!A:A,'JZ_BRAND SPLITS'!C38,'5 Year Supply Plan'!BC:BC)</f>
        <v>805035</v>
      </c>
      <c r="CW38" s="35">
        <f t="shared" si="48"/>
        <v>20861.813532998542</v>
      </c>
      <c r="CX38" s="35">
        <f>SUMIF('5 Year Supply Plan'!A:A,'JZ_BRAND SPLITS'!C38,'5 Year Supply Plan'!BD:BD)</f>
        <v>811507</v>
      </c>
      <c r="CY38" s="35">
        <f t="shared" si="49"/>
        <v>21029.530038722598</v>
      </c>
      <c r="CZ38" s="35">
        <f>SUMIF('5 Year Supply Plan'!A:A,'JZ_BRAND SPLITS'!C38,'5 Year Supply Plan'!BE:BE)</f>
        <v>753549</v>
      </c>
      <c r="DA38" s="35">
        <f t="shared" si="50"/>
        <v>19527.596596393349</v>
      </c>
      <c r="DB38" s="35">
        <f>SUMIF('5 Year Supply Plan'!A:A,'JZ_BRAND SPLITS'!C38,'5 Year Supply Plan'!BF:BF)</f>
        <v>748725</v>
      </c>
      <c r="DC38" s="35">
        <f t="shared" si="51"/>
        <v>19402.586642188642</v>
      </c>
      <c r="DD38" s="35">
        <f>SUMIF('5 Year Supply Plan'!A:A,'JZ_BRAND SPLITS'!C38,'5 Year Supply Plan'!BG:BG)</f>
        <v>748144</v>
      </c>
      <c r="DE38" s="35">
        <f t="shared" si="52"/>
        <v>19387.530509644501</v>
      </c>
      <c r="DF38" s="35">
        <f>SUMIF('5 Year Supply Plan'!A:A,'JZ_BRAND SPLITS'!C38,'5 Year Supply Plan'!BH:BH)</f>
        <v>830099</v>
      </c>
      <c r="DG38" s="35">
        <f t="shared" si="53"/>
        <v>21511.326280135097</v>
      </c>
      <c r="DH38" s="35">
        <f>SUMIF('5 Year Supply Plan'!A:A,'JZ_BRAND SPLITS'!C38,'5 Year Supply Plan'!BI:BI)</f>
        <v>797745</v>
      </c>
      <c r="DI38" s="35">
        <f t="shared" si="54"/>
        <v>20672.899236532478</v>
      </c>
      <c r="DJ38" s="35">
        <f>SUMIF('5 Year Supply Plan'!A:A,'JZ_BRAND SPLITS'!C38,'5 Year Supply Plan'!BJ:BJ)</f>
        <v>701599</v>
      </c>
      <c r="DK38" s="35">
        <f t="shared" si="55"/>
        <v>18181.35548508853</v>
      </c>
      <c r="DL38" s="35">
        <f>SUMIF('5 Year Supply Plan'!A:A,'JZ_BRAND SPLITS'!C38,'5 Year Supply Plan'!BK:BK)</f>
        <v>722492</v>
      </c>
      <c r="DM38" s="35">
        <f t="shared" si="56"/>
        <v>18722.780230776527</v>
      </c>
      <c r="DN38" s="42">
        <f>SUMIF('5 Year Supply Plan'!A:A,'JZ_BRAND SPLITS'!C38,'5 Year Supply Plan'!BL:BL)</f>
        <v>799900</v>
      </c>
      <c r="DO38" s="35">
        <f t="shared" si="57"/>
        <v>20728.744272044736</v>
      </c>
      <c r="DP38" s="35">
        <f>SUMIF('5 Year Supply Plan'!A:A,'JZ_BRAND SPLITS'!C38,'5 Year Supply Plan'!BM:BM)</f>
        <v>764232.5</v>
      </c>
      <c r="DQ38" s="35">
        <f t="shared" si="58"/>
        <v>19804.450627435213</v>
      </c>
      <c r="DR38" s="35">
        <f>SUMIF('5 Year Supply Plan'!A:A,'JZ_BRAND SPLITS'!C38,'5 Year Supply Plan'!BN:BN)</f>
        <v>764232.5</v>
      </c>
      <c r="DS38" s="35">
        <f t="shared" si="59"/>
        <v>19804.450627435213</v>
      </c>
      <c r="DT38" s="39">
        <f t="shared" si="60"/>
        <v>1066412.8365134289</v>
      </c>
      <c r="DU38" s="36">
        <f>SUMIF('5 Year Supply Plan'!A:A,'JZ_BRAND SPLITS'!C38,'5 Year Supply Plan'!BO:BO)</f>
        <v>41151727.125</v>
      </c>
    </row>
    <row r="39" spans="1:125" x14ac:dyDescent="0.25">
      <c r="A39" s="40" t="s">
        <v>267</v>
      </c>
      <c r="B39" s="40" t="s">
        <v>257</v>
      </c>
      <c r="C39" s="40" t="s">
        <v>79</v>
      </c>
      <c r="D39" s="40" t="str">
        <f t="shared" si="0"/>
        <v>C04DHIGH FLOW</v>
      </c>
      <c r="E39" s="41">
        <v>1</v>
      </c>
      <c r="F39" s="35">
        <f>SUMIF('5 Year Supply Plan'!A:A,'JZ_BRAND SPLITS'!C39,'5 Year Supply Plan'!H:H)</f>
        <v>182.23646500000001</v>
      </c>
      <c r="G39" s="35">
        <f t="shared" si="1"/>
        <v>182.23646500000001</v>
      </c>
      <c r="H39" s="35">
        <f>SUMIF('5 Year Supply Plan'!A:A,'JZ_BRAND SPLITS'!C39,'5 Year Supply Plan'!I:I)</f>
        <v>79.16198</v>
      </c>
      <c r="I39" s="35">
        <f t="shared" si="2"/>
        <v>79.16198</v>
      </c>
      <c r="J39" s="35">
        <f>SUMIF('5 Year Supply Plan'!A:A,'JZ_BRAND SPLITS'!C39,'5 Year Supply Plan'!J:J)</f>
        <v>200.87008700000001</v>
      </c>
      <c r="K39" s="35">
        <f t="shared" si="3"/>
        <v>200.87008700000001</v>
      </c>
      <c r="L39" s="35">
        <f>SUMIF('5 Year Supply Plan'!A:A,'JZ_BRAND SPLITS'!C39,'5 Year Supply Plan'!K:K)</f>
        <v>200</v>
      </c>
      <c r="M39" s="35">
        <f t="shared" si="4"/>
        <v>200</v>
      </c>
      <c r="N39" s="35">
        <f>SUMIF('5 Year Supply Plan'!A:A,'JZ_BRAND SPLITS'!C39,'5 Year Supply Plan'!L:L)</f>
        <v>200</v>
      </c>
      <c r="O39" s="35">
        <f t="shared" si="5"/>
        <v>200</v>
      </c>
      <c r="P39" s="35">
        <f>SUMIF('5 Year Supply Plan'!A:A,'JZ_BRAND SPLITS'!C39,'5 Year Supply Plan'!M:M)</f>
        <v>200</v>
      </c>
      <c r="Q39" s="35">
        <f t="shared" si="6"/>
        <v>200</v>
      </c>
      <c r="R39" s="35">
        <f>SUMIF('5 Year Supply Plan'!A:A,'JZ_BRAND SPLITS'!C39,'5 Year Supply Plan'!N:N)</f>
        <v>200</v>
      </c>
      <c r="S39" s="35">
        <f t="shared" si="7"/>
        <v>200</v>
      </c>
      <c r="T39" s="35">
        <f>SUMIF('5 Year Supply Plan'!A:A,'JZ_BRAND SPLITS'!C39,'5 Year Supply Plan'!O:O)</f>
        <v>200</v>
      </c>
      <c r="U39" s="35">
        <f t="shared" si="8"/>
        <v>200</v>
      </c>
      <c r="V39" s="35">
        <f>SUMIF('5 Year Supply Plan'!A:A,'JZ_BRAND SPLITS'!C39,'5 Year Supply Plan'!P:P)</f>
        <v>200</v>
      </c>
      <c r="W39" s="35">
        <f t="shared" si="9"/>
        <v>200</v>
      </c>
      <c r="X39" s="35">
        <f>SUMIF('5 Year Supply Plan'!A:A,'JZ_BRAND SPLITS'!C39,'5 Year Supply Plan'!Q:Q)</f>
        <v>200</v>
      </c>
      <c r="Y39" s="35">
        <f t="shared" si="10"/>
        <v>200</v>
      </c>
      <c r="Z39" s="35">
        <f>SUMIF('5 Year Supply Plan'!A:A,'JZ_BRAND SPLITS'!C39,'5 Year Supply Plan'!R:R)</f>
        <v>444</v>
      </c>
      <c r="AA39" s="35">
        <f t="shared" si="11"/>
        <v>444</v>
      </c>
      <c r="AB39" s="35">
        <f>SUMIF('5 Year Supply Plan'!A:A,'JZ_BRAND SPLITS'!C39,'5 Year Supply Plan'!S:S)</f>
        <v>516</v>
      </c>
      <c r="AC39" s="35">
        <f t="shared" si="12"/>
        <v>516</v>
      </c>
      <c r="AD39" s="35">
        <f>SUMIF('5 Year Supply Plan'!A:A,'JZ_BRAND SPLITS'!C39,'5 Year Supply Plan'!T:T)</f>
        <v>432</v>
      </c>
      <c r="AE39" s="35">
        <f t="shared" si="13"/>
        <v>432</v>
      </c>
      <c r="AF39" s="35">
        <f>SUMIF('5 Year Supply Plan'!A:A,'JZ_BRAND SPLITS'!C39,'5 Year Supply Plan'!U:U)</f>
        <v>420</v>
      </c>
      <c r="AG39" s="35">
        <f t="shared" si="14"/>
        <v>420</v>
      </c>
      <c r="AH39" s="35">
        <f>SUMIF('5 Year Supply Plan'!A:A,'JZ_BRAND SPLITS'!C39,'5 Year Supply Plan'!V:V)</f>
        <v>504</v>
      </c>
      <c r="AI39" s="35">
        <f t="shared" si="15"/>
        <v>504</v>
      </c>
      <c r="AJ39" s="35">
        <f>SUMIF('5 Year Supply Plan'!A:A,'JZ_BRAND SPLITS'!C39,'5 Year Supply Plan'!W:W)</f>
        <v>461</v>
      </c>
      <c r="AK39" s="35">
        <f t="shared" si="16"/>
        <v>461</v>
      </c>
      <c r="AL39" s="35">
        <f>SUMIF('5 Year Supply Plan'!A:A,'JZ_BRAND SPLITS'!C39,'5 Year Supply Plan'!X:X)</f>
        <v>441</v>
      </c>
      <c r="AM39" s="35">
        <f t="shared" si="17"/>
        <v>441</v>
      </c>
      <c r="AN39" s="35">
        <f>SUMIF('5 Year Supply Plan'!A:A,'JZ_BRAND SPLITS'!C39,'5 Year Supply Plan'!Y:Y)</f>
        <v>443</v>
      </c>
      <c r="AO39" s="35">
        <f t="shared" si="18"/>
        <v>443</v>
      </c>
      <c r="AP39" s="35">
        <f>SUMIF('5 Year Supply Plan'!A:A,'JZ_BRAND SPLITS'!C39,'5 Year Supply Plan'!Z:Z)</f>
        <v>453</v>
      </c>
      <c r="AQ39" s="35">
        <f t="shared" si="19"/>
        <v>453</v>
      </c>
      <c r="AR39" s="35">
        <f>SUMIF('5 Year Supply Plan'!A:A,'JZ_BRAND SPLITS'!C39,'5 Year Supply Plan'!AA:AA)</f>
        <v>445</v>
      </c>
      <c r="AS39" s="35">
        <f t="shared" si="20"/>
        <v>445</v>
      </c>
      <c r="AT39" s="35">
        <f>SUMIF('5 Year Supply Plan'!A:A,'JZ_BRAND SPLITS'!C39,'5 Year Supply Plan'!AB:AB)</f>
        <v>441</v>
      </c>
      <c r="AU39" s="35">
        <f t="shared" si="21"/>
        <v>441</v>
      </c>
      <c r="AV39" s="35">
        <f>SUMIF('5 Year Supply Plan'!A:A,'JZ_BRAND SPLITS'!C39,'5 Year Supply Plan'!AC:AC)</f>
        <v>455</v>
      </c>
      <c r="AW39" s="35">
        <f t="shared" si="22"/>
        <v>455</v>
      </c>
      <c r="AX39" s="35">
        <f>SUMIF('5 Year Supply Plan'!A:A,'JZ_BRAND SPLITS'!C39,'5 Year Supply Plan'!AD:AD)</f>
        <v>477</v>
      </c>
      <c r="AY39" s="35">
        <f t="shared" si="23"/>
        <v>477</v>
      </c>
      <c r="AZ39" s="35">
        <f>SUMIF('5 Year Supply Plan'!A:A,'JZ_BRAND SPLITS'!C39,'5 Year Supply Plan'!AE:AE)</f>
        <v>557</v>
      </c>
      <c r="BA39" s="35">
        <f t="shared" si="24"/>
        <v>557</v>
      </c>
      <c r="BB39" s="35">
        <f>SUMIF('5 Year Supply Plan'!A:A,'JZ_BRAND SPLITS'!C39,'5 Year Supply Plan'!AF:AF)</f>
        <v>464</v>
      </c>
      <c r="BC39" s="35">
        <f t="shared" si="25"/>
        <v>464</v>
      </c>
      <c r="BD39" s="35">
        <f>SUMIF('5 Year Supply Plan'!A:A,'JZ_BRAND SPLITS'!C39,'5 Year Supply Plan'!AG:AG)</f>
        <v>451</v>
      </c>
      <c r="BE39" s="35">
        <f t="shared" si="26"/>
        <v>451</v>
      </c>
      <c r="BF39" s="35">
        <f>SUMIF('5 Year Supply Plan'!A:A,'JZ_BRAND SPLITS'!C39,'5 Year Supply Plan'!AH:AH)</f>
        <v>544</v>
      </c>
      <c r="BG39" s="35">
        <f t="shared" si="27"/>
        <v>544</v>
      </c>
      <c r="BH39" s="35">
        <f>SUMIF('5 Year Supply Plan'!A:A,'JZ_BRAND SPLITS'!C39,'5 Year Supply Plan'!AI:AI)</f>
        <v>495</v>
      </c>
      <c r="BI39" s="35">
        <f t="shared" si="28"/>
        <v>495</v>
      </c>
      <c r="BJ39" s="35">
        <f>SUMIF('5 Year Supply Plan'!A:A,'JZ_BRAND SPLITS'!C39,'5 Year Supply Plan'!AJ:AJ)</f>
        <v>477</v>
      </c>
      <c r="BK39" s="35">
        <f t="shared" si="29"/>
        <v>477</v>
      </c>
      <c r="BL39" s="35">
        <f>SUMIF('5 Year Supply Plan'!A:A,'JZ_BRAND SPLITS'!C39,'5 Year Supply Plan'!AK:AK)</f>
        <v>478</v>
      </c>
      <c r="BM39" s="35">
        <f t="shared" si="30"/>
        <v>478</v>
      </c>
      <c r="BN39" s="35">
        <f>SUMIF('5 Year Supply Plan'!A:A,'JZ_BRAND SPLITS'!C39,'5 Year Supply Plan'!AL:AL)</f>
        <v>488</v>
      </c>
      <c r="BO39" s="35">
        <f t="shared" si="31"/>
        <v>488</v>
      </c>
      <c r="BP39" s="35">
        <f>SUMIF('5 Year Supply Plan'!A:A,'JZ_BRAND SPLITS'!C39,'5 Year Supply Plan'!AM:AM)</f>
        <v>480</v>
      </c>
      <c r="BQ39" s="35">
        <f t="shared" si="32"/>
        <v>480</v>
      </c>
      <c r="BR39" s="35">
        <f>SUMIF('5 Year Supply Plan'!A:A,'JZ_BRAND SPLITS'!C39,'5 Year Supply Plan'!AN:AN)</f>
        <v>473</v>
      </c>
      <c r="BS39" s="35">
        <f t="shared" si="33"/>
        <v>473</v>
      </c>
      <c r="BT39" s="35">
        <f>SUMIF('5 Year Supply Plan'!A:A,'JZ_BRAND SPLITS'!C39,'5 Year Supply Plan'!AO:AO)</f>
        <v>488</v>
      </c>
      <c r="BU39" s="35">
        <f t="shared" si="34"/>
        <v>488</v>
      </c>
      <c r="BV39" s="35">
        <f>SUMIF('5 Year Supply Plan'!A:A,'JZ_BRAND SPLITS'!C39,'5 Year Supply Plan'!AP:AP)</f>
        <v>511</v>
      </c>
      <c r="BW39" s="35">
        <f t="shared" si="35"/>
        <v>511</v>
      </c>
      <c r="BX39" s="35">
        <f>SUMIF('5 Year Supply Plan'!A:A,'JZ_BRAND SPLITS'!C39,'5 Year Supply Plan'!AQ:AQ)</f>
        <v>598</v>
      </c>
      <c r="BY39" s="35">
        <f t="shared" si="36"/>
        <v>598</v>
      </c>
      <c r="BZ39" s="35">
        <f>SUMIF('5 Year Supply Plan'!A:A,'JZ_BRAND SPLITS'!C39,'5 Year Supply Plan'!AR:AR)</f>
        <v>498</v>
      </c>
      <c r="CA39" s="35">
        <f t="shared" si="37"/>
        <v>498</v>
      </c>
      <c r="CB39" s="35">
        <f>SUMIF('5 Year Supply Plan'!A:A,'JZ_BRAND SPLITS'!C39,'5 Year Supply Plan'!AS:AS)</f>
        <v>485</v>
      </c>
      <c r="CC39" s="35">
        <f t="shared" si="38"/>
        <v>485</v>
      </c>
      <c r="CD39" s="35">
        <f>SUMIF('5 Year Supply Plan'!A:A,'JZ_BRAND SPLITS'!C39,'5 Year Supply Plan'!AT:AT)</f>
        <v>583</v>
      </c>
      <c r="CE39" s="35">
        <f t="shared" si="39"/>
        <v>583</v>
      </c>
      <c r="CF39" s="35">
        <f>SUMIF('5 Year Supply Plan'!A:A,'JZ_BRAND SPLITS'!C39,'5 Year Supply Plan'!AU:AU)</f>
        <v>531</v>
      </c>
      <c r="CG39" s="35">
        <f t="shared" si="40"/>
        <v>531</v>
      </c>
      <c r="CH39" s="35">
        <f>SUMIF('5 Year Supply Plan'!A:A,'JZ_BRAND SPLITS'!C39,'5 Year Supply Plan'!AV:AV)</f>
        <v>509</v>
      </c>
      <c r="CI39" s="35">
        <f t="shared" si="41"/>
        <v>509</v>
      </c>
      <c r="CJ39" s="35">
        <f>SUMIF('5 Year Supply Plan'!A:A,'JZ_BRAND SPLITS'!C39,'5 Year Supply Plan'!AW:AW)</f>
        <v>513</v>
      </c>
      <c r="CK39" s="35">
        <f t="shared" si="42"/>
        <v>513</v>
      </c>
      <c r="CL39" s="35">
        <f>SUMIF('5 Year Supply Plan'!A:A,'JZ_BRAND SPLITS'!C39,'5 Year Supply Plan'!AX:AX)</f>
        <v>524</v>
      </c>
      <c r="CM39" s="35">
        <f t="shared" si="43"/>
        <v>524</v>
      </c>
      <c r="CN39" s="35">
        <f>SUMIF('5 Year Supply Plan'!A:A,'JZ_BRAND SPLITS'!C39,'5 Year Supply Plan'!AY:AY)</f>
        <v>514</v>
      </c>
      <c r="CO39" s="35">
        <f t="shared" si="44"/>
        <v>514</v>
      </c>
      <c r="CP39" s="35">
        <f>SUMIF('5 Year Supply Plan'!A:A,'JZ_BRAND SPLITS'!C39,'5 Year Supply Plan'!AZ:AZ)</f>
        <v>509</v>
      </c>
      <c r="CQ39" s="35">
        <f t="shared" si="45"/>
        <v>509</v>
      </c>
      <c r="CR39" s="35">
        <f>SUMIF('5 Year Supply Plan'!A:A,'JZ_BRAND SPLITS'!C39,'5 Year Supply Plan'!BA:BA)</f>
        <v>526</v>
      </c>
      <c r="CS39" s="35">
        <f t="shared" si="46"/>
        <v>526</v>
      </c>
      <c r="CT39" s="35">
        <f>SUMIF('5 Year Supply Plan'!A:A,'JZ_BRAND SPLITS'!C39,'5 Year Supply Plan'!BB:BB)</f>
        <v>551</v>
      </c>
      <c r="CU39" s="35">
        <f t="shared" si="47"/>
        <v>551</v>
      </c>
      <c r="CV39" s="35">
        <f>SUMIF('5 Year Supply Plan'!A:A,'JZ_BRAND SPLITS'!C39,'5 Year Supply Plan'!BC:BC)</f>
        <v>642</v>
      </c>
      <c r="CW39" s="35">
        <f t="shared" si="48"/>
        <v>642</v>
      </c>
      <c r="CX39" s="35">
        <f>SUMIF('5 Year Supply Plan'!A:A,'JZ_BRAND SPLITS'!C39,'5 Year Supply Plan'!BD:BD)</f>
        <v>538</v>
      </c>
      <c r="CY39" s="35">
        <f t="shared" si="49"/>
        <v>538</v>
      </c>
      <c r="CZ39" s="35">
        <f>SUMIF('5 Year Supply Plan'!A:A,'JZ_BRAND SPLITS'!C39,'5 Year Supply Plan'!BE:BE)</f>
        <v>522</v>
      </c>
      <c r="DA39" s="35">
        <f t="shared" si="50"/>
        <v>522</v>
      </c>
      <c r="DB39" s="35">
        <f>SUMIF('5 Year Supply Plan'!A:A,'JZ_BRAND SPLITS'!C39,'5 Year Supply Plan'!BF:BF)</f>
        <v>628</v>
      </c>
      <c r="DC39" s="35">
        <f t="shared" si="51"/>
        <v>628</v>
      </c>
      <c r="DD39" s="35">
        <f>SUMIF('5 Year Supply Plan'!A:A,'JZ_BRAND SPLITS'!C39,'5 Year Supply Plan'!BG:BG)</f>
        <v>573</v>
      </c>
      <c r="DE39" s="35">
        <f t="shared" si="52"/>
        <v>573</v>
      </c>
      <c r="DF39" s="35">
        <f>SUMIF('5 Year Supply Plan'!A:A,'JZ_BRAND SPLITS'!C39,'5 Year Supply Plan'!BH:BH)</f>
        <v>549</v>
      </c>
      <c r="DG39" s="35">
        <f t="shared" si="53"/>
        <v>549</v>
      </c>
      <c r="DH39" s="35">
        <f>SUMIF('5 Year Supply Plan'!A:A,'JZ_BRAND SPLITS'!C39,'5 Year Supply Plan'!BI:BI)</f>
        <v>552</v>
      </c>
      <c r="DI39" s="35">
        <f t="shared" si="54"/>
        <v>552</v>
      </c>
      <c r="DJ39" s="35">
        <f>SUMIF('5 Year Supply Plan'!A:A,'JZ_BRAND SPLITS'!C39,'5 Year Supply Plan'!BJ:BJ)</f>
        <v>563</v>
      </c>
      <c r="DK39" s="35">
        <f t="shared" si="55"/>
        <v>563</v>
      </c>
      <c r="DL39" s="35">
        <f>SUMIF('5 Year Supply Plan'!A:A,'JZ_BRAND SPLITS'!C39,'5 Year Supply Plan'!BK:BK)</f>
        <v>548</v>
      </c>
      <c r="DM39" s="35">
        <f t="shared" si="56"/>
        <v>548</v>
      </c>
      <c r="DN39" s="42">
        <f>SUMIF('5 Year Supply Plan'!A:A,'JZ_BRAND SPLITS'!C39,'5 Year Supply Plan'!BL:BL)</f>
        <v>539</v>
      </c>
      <c r="DO39" s="35">
        <f t="shared" si="57"/>
        <v>539</v>
      </c>
      <c r="DP39" s="35">
        <f>SUMIF('5 Year Supply Plan'!A:A,'JZ_BRAND SPLITS'!C39,'5 Year Supply Plan'!BM:BM)</f>
        <v>559.125</v>
      </c>
      <c r="DQ39" s="35">
        <f t="shared" si="58"/>
        <v>559.125</v>
      </c>
      <c r="DR39" s="35">
        <f>SUMIF('5 Year Supply Plan'!A:A,'JZ_BRAND SPLITS'!C39,'5 Year Supply Plan'!BN:BN)</f>
        <v>559.125</v>
      </c>
      <c r="DS39" s="35">
        <f t="shared" si="59"/>
        <v>559.125</v>
      </c>
      <c r="DT39" s="39">
        <f t="shared" si="60"/>
        <v>26813.518532000002</v>
      </c>
      <c r="DU39" s="36">
        <f>SUMIF('5 Year Supply Plan'!A:A,'JZ_BRAND SPLITS'!C39,'5 Year Supply Plan'!BO:BO)</f>
        <v>26813.518532000002</v>
      </c>
    </row>
    <row r="40" spans="1:125" x14ac:dyDescent="0.25">
      <c r="A40" s="40" t="s">
        <v>267</v>
      </c>
      <c r="B40" s="40" t="s">
        <v>257</v>
      </c>
      <c r="C40" s="40" t="s">
        <v>81</v>
      </c>
      <c r="D40" s="40" t="str">
        <f t="shared" si="0"/>
        <v>C04DINFINITI</v>
      </c>
      <c r="E40" s="41">
        <v>7.48128005714844E-2</v>
      </c>
      <c r="F40" s="35">
        <f>SUMIF('5 Year Supply Plan'!A:A,'JZ_BRAND SPLITS'!C40,'5 Year Supply Plan'!H:H)</f>
        <v>694365.125</v>
      </c>
      <c r="G40" s="35">
        <f t="shared" si="1"/>
        <v>51947.399620418837</v>
      </c>
      <c r="H40" s="35">
        <f>SUMIF('5 Year Supply Plan'!A:A,'JZ_BRAND SPLITS'!C40,'5 Year Supply Plan'!I:I)</f>
        <v>824439.75</v>
      </c>
      <c r="I40" s="35">
        <f t="shared" si="2"/>
        <v>61678.646599954453</v>
      </c>
      <c r="J40" s="35">
        <f>SUMIF('5 Year Supply Plan'!A:A,'JZ_BRAND SPLITS'!C40,'5 Year Supply Plan'!J:J)</f>
        <v>685154.25</v>
      </c>
      <c r="K40" s="35">
        <f t="shared" si="3"/>
        <v>51258.308265954969</v>
      </c>
      <c r="L40" s="35">
        <f>SUMIF('5 Year Supply Plan'!A:A,'JZ_BRAND SPLITS'!C40,'5 Year Supply Plan'!K:K)</f>
        <v>652395</v>
      </c>
      <c r="M40" s="35">
        <f t="shared" si="4"/>
        <v>48807.497028833568</v>
      </c>
      <c r="N40" s="35">
        <f>SUMIF('5 Year Supply Plan'!A:A,'JZ_BRAND SPLITS'!C40,'5 Year Supply Plan'!L:L)</f>
        <v>400000</v>
      </c>
      <c r="O40" s="35">
        <f t="shared" si="5"/>
        <v>29925.120228593762</v>
      </c>
      <c r="P40" s="35">
        <f>SUMIF('5 Year Supply Plan'!A:A,'JZ_BRAND SPLITS'!C40,'5 Year Supply Plan'!M:M)</f>
        <v>650268</v>
      </c>
      <c r="Q40" s="35">
        <f t="shared" si="6"/>
        <v>48648.370202018021</v>
      </c>
      <c r="R40" s="35">
        <f>SUMIF('5 Year Supply Plan'!A:A,'JZ_BRAND SPLITS'!C40,'5 Year Supply Plan'!N:N)</f>
        <v>632412</v>
      </c>
      <c r="S40" s="35">
        <f t="shared" si="7"/>
        <v>47312.512835013593</v>
      </c>
      <c r="T40" s="35">
        <f>SUMIF('5 Year Supply Plan'!A:A,'JZ_BRAND SPLITS'!C40,'5 Year Supply Plan'!O:O)</f>
        <v>643687</v>
      </c>
      <c r="U40" s="35">
        <f t="shared" si="8"/>
        <v>48156.027161457081</v>
      </c>
      <c r="V40" s="35">
        <f>SUMIF('5 Year Supply Plan'!A:A,'JZ_BRAND SPLITS'!C40,'5 Year Supply Plan'!P:P)</f>
        <v>639404</v>
      </c>
      <c r="W40" s="35">
        <f t="shared" si="9"/>
        <v>47835.603936609412</v>
      </c>
      <c r="X40" s="35">
        <f>SUMIF('5 Year Supply Plan'!A:A,'JZ_BRAND SPLITS'!C40,'5 Year Supply Plan'!Q:Q)</f>
        <v>625246</v>
      </c>
      <c r="Y40" s="35">
        <f t="shared" si="10"/>
        <v>46776.404306118333</v>
      </c>
      <c r="Z40" s="35">
        <f>SUMIF('5 Year Supply Plan'!A:A,'JZ_BRAND SPLITS'!C40,'5 Year Supply Plan'!R:R)</f>
        <v>617521</v>
      </c>
      <c r="AA40" s="35">
        <f t="shared" si="11"/>
        <v>46198.475421703617</v>
      </c>
      <c r="AB40" s="35">
        <f>SUMIF('5 Year Supply Plan'!A:A,'JZ_BRAND SPLITS'!C40,'5 Year Supply Plan'!S:S)</f>
        <v>672459</v>
      </c>
      <c r="AC40" s="35">
        <f t="shared" si="12"/>
        <v>50308.541059499825</v>
      </c>
      <c r="AD40" s="35">
        <f>SUMIF('5 Year Supply Plan'!A:A,'JZ_BRAND SPLITS'!C40,'5 Year Supply Plan'!T:T)</f>
        <v>677531</v>
      </c>
      <c r="AE40" s="35">
        <f t="shared" si="13"/>
        <v>50687.991583998395</v>
      </c>
      <c r="AF40" s="35">
        <f>SUMIF('5 Year Supply Plan'!A:A,'JZ_BRAND SPLITS'!C40,'5 Year Supply Plan'!U:U)</f>
        <v>627555</v>
      </c>
      <c r="AG40" s="35">
        <f t="shared" si="14"/>
        <v>46949.147062637894</v>
      </c>
      <c r="AH40" s="35">
        <f>SUMIF('5 Year Supply Plan'!A:A,'JZ_BRAND SPLITS'!C40,'5 Year Supply Plan'!V:V)</f>
        <v>630297</v>
      </c>
      <c r="AI40" s="35">
        <f t="shared" si="15"/>
        <v>47154.283761804902</v>
      </c>
      <c r="AJ40" s="35">
        <f>SUMIF('5 Year Supply Plan'!A:A,'JZ_BRAND SPLITS'!C40,'5 Year Supply Plan'!W:W)</f>
        <v>626398</v>
      </c>
      <c r="AK40" s="35">
        <f t="shared" si="16"/>
        <v>46862.588652376682</v>
      </c>
      <c r="AL40" s="35">
        <f>SUMIF('5 Year Supply Plan'!A:A,'JZ_BRAND SPLITS'!C40,'5 Year Supply Plan'!X:X)</f>
        <v>698606</v>
      </c>
      <c r="AM40" s="35">
        <f t="shared" si="17"/>
        <v>52264.671356042432</v>
      </c>
      <c r="AN40" s="35">
        <f>SUMIF('5 Year Supply Plan'!A:A,'JZ_BRAND SPLITS'!C40,'5 Year Supply Plan'!Y:Y)</f>
        <v>677121</v>
      </c>
      <c r="AO40" s="35">
        <f t="shared" si="18"/>
        <v>50657.318335764088</v>
      </c>
      <c r="AP40" s="35">
        <f>SUMIF('5 Year Supply Plan'!A:A,'JZ_BRAND SPLITS'!C40,'5 Year Supply Plan'!Z:Z)</f>
        <v>601675</v>
      </c>
      <c r="AQ40" s="35">
        <f t="shared" si="19"/>
        <v>45012.99178384788</v>
      </c>
      <c r="AR40" s="35">
        <f>SUMIF('5 Year Supply Plan'!A:A,'JZ_BRAND SPLITS'!C40,'5 Year Supply Plan'!AA:AA)</f>
        <v>632136</v>
      </c>
      <c r="AS40" s="35">
        <f t="shared" si="20"/>
        <v>47291.864502055862</v>
      </c>
      <c r="AT40" s="35">
        <f>SUMIF('5 Year Supply Plan'!A:A,'JZ_BRAND SPLITS'!C40,'5 Year Supply Plan'!AB:AB)</f>
        <v>667494</v>
      </c>
      <c r="AU40" s="35">
        <f t="shared" si="21"/>
        <v>49937.095504662408</v>
      </c>
      <c r="AV40" s="35">
        <f>SUMIF('5 Year Supply Plan'!A:A,'JZ_BRAND SPLITS'!C40,'5 Year Supply Plan'!AC:AC)</f>
        <v>671189</v>
      </c>
      <c r="AW40" s="35">
        <f t="shared" si="22"/>
        <v>50213.528802774046</v>
      </c>
      <c r="AX40" s="35">
        <f>SUMIF('5 Year Supply Plan'!A:A,'JZ_BRAND SPLITS'!C40,'5 Year Supply Plan'!AD:AD)</f>
        <v>579605</v>
      </c>
      <c r="AY40" s="35">
        <f t="shared" si="23"/>
        <v>43361.873275235215</v>
      </c>
      <c r="AZ40" s="35">
        <f>SUMIF('5 Year Supply Plan'!A:A,'JZ_BRAND SPLITS'!C40,'5 Year Supply Plan'!AE:AE)</f>
        <v>718100</v>
      </c>
      <c r="BA40" s="35">
        <f t="shared" si="24"/>
        <v>53723.07209038295</v>
      </c>
      <c r="BB40" s="35">
        <f>SUMIF('5 Year Supply Plan'!A:A,'JZ_BRAND SPLITS'!C40,'5 Year Supply Plan'!AF:AF)</f>
        <v>724015</v>
      </c>
      <c r="BC40" s="35">
        <f t="shared" si="25"/>
        <v>54165.58980576328</v>
      </c>
      <c r="BD40" s="35">
        <f>SUMIF('5 Year Supply Plan'!A:A,'JZ_BRAND SPLITS'!C40,'5 Year Supply Plan'!AG:AG)</f>
        <v>670852</v>
      </c>
      <c r="BE40" s="35">
        <f t="shared" si="26"/>
        <v>50188.316888981455</v>
      </c>
      <c r="BF40" s="35">
        <f>SUMIF('5 Year Supply Plan'!A:A,'JZ_BRAND SPLITS'!C40,'5 Year Supply Plan'!AH:AH)</f>
        <v>671867</v>
      </c>
      <c r="BG40" s="35">
        <f t="shared" si="27"/>
        <v>50264.251881561511</v>
      </c>
      <c r="BH40" s="35">
        <f>SUMIF('5 Year Supply Plan'!A:A,'JZ_BRAND SPLITS'!C40,'5 Year Supply Plan'!AI:AI)</f>
        <v>668727</v>
      </c>
      <c r="BI40" s="35">
        <f t="shared" si="28"/>
        <v>50029.339687767046</v>
      </c>
      <c r="BJ40" s="35">
        <f>SUMIF('5 Year Supply Plan'!A:A,'JZ_BRAND SPLITS'!C40,'5 Year Supply Plan'!AJ:AJ)</f>
        <v>744642</v>
      </c>
      <c r="BK40" s="35">
        <f t="shared" si="29"/>
        <v>55708.753443151283</v>
      </c>
      <c r="BL40" s="35">
        <f>SUMIF('5 Year Supply Plan'!A:A,'JZ_BRAND SPLITS'!C40,'5 Year Supply Plan'!AK:AK)</f>
        <v>721918</v>
      </c>
      <c r="BM40" s="35">
        <f t="shared" si="30"/>
        <v>54008.707362964873</v>
      </c>
      <c r="BN40" s="35">
        <f>SUMIF('5 Year Supply Plan'!A:A,'JZ_BRAND SPLITS'!C40,'5 Year Supply Plan'!AL:AL)</f>
        <v>644990</v>
      </c>
      <c r="BO40" s="35">
        <f t="shared" si="31"/>
        <v>48253.508240601725</v>
      </c>
      <c r="BP40" s="35">
        <f>SUMIF('5 Year Supply Plan'!A:A,'JZ_BRAND SPLITS'!C40,'5 Year Supply Plan'!AM:AM)</f>
        <v>673843</v>
      </c>
      <c r="BQ40" s="35">
        <f t="shared" si="32"/>
        <v>50412.081975490764</v>
      </c>
      <c r="BR40" s="35">
        <f>SUMIF('5 Year Supply Plan'!A:A,'JZ_BRAND SPLITS'!C40,'5 Year Supply Plan'!AN:AN)</f>
        <v>708550</v>
      </c>
      <c r="BS40" s="35">
        <f t="shared" si="33"/>
        <v>53008.609844925275</v>
      </c>
      <c r="BT40" s="35">
        <f>SUMIF('5 Year Supply Plan'!A:A,'JZ_BRAND SPLITS'!C40,'5 Year Supply Plan'!AO:AO)</f>
        <v>719012</v>
      </c>
      <c r="BU40" s="35">
        <f t="shared" si="34"/>
        <v>53791.301364504143</v>
      </c>
      <c r="BV40" s="35">
        <f>SUMIF('5 Year Supply Plan'!A:A,'JZ_BRAND SPLITS'!C40,'5 Year Supply Plan'!AP:AP)</f>
        <v>618187</v>
      </c>
      <c r="BW40" s="35">
        <f t="shared" si="35"/>
        <v>46248.300746884226</v>
      </c>
      <c r="BX40" s="35">
        <f>SUMIF('5 Year Supply Plan'!A:A,'JZ_BRAND SPLITS'!C40,'5 Year Supply Plan'!AQ:AQ)</f>
        <v>763295</v>
      </c>
      <c r="BY40" s="35">
        <f t="shared" si="36"/>
        <v>57104.236612211185</v>
      </c>
      <c r="BZ40" s="35">
        <f>SUMIF('5 Year Supply Plan'!A:A,'JZ_BRAND SPLITS'!C40,'5 Year Supply Plan'!AR:AR)</f>
        <v>769796</v>
      </c>
      <c r="CA40" s="35">
        <f t="shared" si="37"/>
        <v>57590.594628726409</v>
      </c>
      <c r="CB40" s="35">
        <f>SUMIF('5 Year Supply Plan'!A:A,'JZ_BRAND SPLITS'!C40,'5 Year Supply Plan'!AS:AS)</f>
        <v>713937</v>
      </c>
      <c r="CC40" s="35">
        <f t="shared" si="38"/>
        <v>53411.626401603855</v>
      </c>
      <c r="CD40" s="35">
        <f>SUMIF('5 Year Supply Plan'!A:A,'JZ_BRAND SPLITS'!C40,'5 Year Supply Plan'!AT:AT)</f>
        <v>712039</v>
      </c>
      <c r="CE40" s="35">
        <f t="shared" si="39"/>
        <v>53269.63170611918</v>
      </c>
      <c r="CF40" s="35">
        <f>SUMIF('5 Year Supply Plan'!A:A,'JZ_BRAND SPLITS'!C40,'5 Year Supply Plan'!AU:AU)</f>
        <v>710212</v>
      </c>
      <c r="CG40" s="35">
        <f t="shared" si="40"/>
        <v>53132.948719475076</v>
      </c>
      <c r="CH40" s="35">
        <f>SUMIF('5 Year Supply Plan'!A:A,'JZ_BRAND SPLITS'!C40,'5 Year Supply Plan'!AV:AV)</f>
        <v>789265</v>
      </c>
      <c r="CI40" s="35">
        <f t="shared" si="41"/>
        <v>59047.125043052634</v>
      </c>
      <c r="CJ40" s="35">
        <f>SUMIF('5 Year Supply Plan'!A:A,'JZ_BRAND SPLITS'!C40,'5 Year Supply Plan'!AW:AW)</f>
        <v>765615</v>
      </c>
      <c r="CK40" s="35">
        <f t="shared" si="42"/>
        <v>57277.80230953703</v>
      </c>
      <c r="CL40" s="35">
        <f>SUMIF('5 Year Supply Plan'!A:A,'JZ_BRAND SPLITS'!C40,'5 Year Supply Plan'!AX:AX)</f>
        <v>690963</v>
      </c>
      <c r="CM40" s="35">
        <f t="shared" si="43"/>
        <v>51692.877121274578</v>
      </c>
      <c r="CN40" s="35">
        <f>SUMIF('5 Year Supply Plan'!A:A,'JZ_BRAND SPLITS'!C40,'5 Year Supply Plan'!AY:AY)</f>
        <v>712113</v>
      </c>
      <c r="CO40" s="35">
        <f t="shared" si="44"/>
        <v>53275.167853361469</v>
      </c>
      <c r="CP40" s="35">
        <f>SUMIF('5 Year Supply Plan'!A:A,'JZ_BRAND SPLITS'!C40,'5 Year Supply Plan'!AZ:AZ)</f>
        <v>749275</v>
      </c>
      <c r="CQ40" s="35">
        <f t="shared" si="45"/>
        <v>56055.361148198972</v>
      </c>
      <c r="CR40" s="35">
        <f>SUMIF('5 Year Supply Plan'!A:A,'JZ_BRAND SPLITS'!C40,'5 Year Supply Plan'!BA:BA)</f>
        <v>763112</v>
      </c>
      <c r="CS40" s="35">
        <f t="shared" si="46"/>
        <v>57090.545869706606</v>
      </c>
      <c r="CT40" s="35">
        <f>SUMIF('5 Year Supply Plan'!A:A,'JZ_BRAND SPLITS'!C40,'5 Year Supply Plan'!BB:BB)</f>
        <v>653184</v>
      </c>
      <c r="CU40" s="35">
        <f t="shared" si="47"/>
        <v>48866.524328484469</v>
      </c>
      <c r="CV40" s="35">
        <f>SUMIF('5 Year Supply Plan'!A:A,'JZ_BRAND SPLITS'!C40,'5 Year Supply Plan'!BC:BC)</f>
        <v>805035</v>
      </c>
      <c r="CW40" s="35">
        <f t="shared" si="48"/>
        <v>60226.922908064946</v>
      </c>
      <c r="CX40" s="35">
        <f>SUMIF('5 Year Supply Plan'!A:A,'JZ_BRAND SPLITS'!C40,'5 Year Supply Plan'!BD:BD)</f>
        <v>811507</v>
      </c>
      <c r="CY40" s="35">
        <f t="shared" si="49"/>
        <v>60711.111353363594</v>
      </c>
      <c r="CZ40" s="35">
        <f>SUMIF('5 Year Supply Plan'!A:A,'JZ_BRAND SPLITS'!C40,'5 Year Supply Plan'!BE:BE)</f>
        <v>753549</v>
      </c>
      <c r="DA40" s="35">
        <f t="shared" si="50"/>
        <v>56375.111057841495</v>
      </c>
      <c r="DB40" s="35">
        <f>SUMIF('5 Year Supply Plan'!A:A,'JZ_BRAND SPLITS'!C40,'5 Year Supply Plan'!BF:BF)</f>
        <v>748725</v>
      </c>
      <c r="DC40" s="35">
        <f t="shared" si="51"/>
        <v>56014.214107884654</v>
      </c>
      <c r="DD40" s="35">
        <f>SUMIF('5 Year Supply Plan'!A:A,'JZ_BRAND SPLITS'!C40,'5 Year Supply Plan'!BG:BG)</f>
        <v>748144</v>
      </c>
      <c r="DE40" s="35">
        <f t="shared" si="52"/>
        <v>55970.747870752624</v>
      </c>
      <c r="DF40" s="35">
        <f>SUMIF('5 Year Supply Plan'!A:A,'JZ_BRAND SPLITS'!C40,'5 Year Supply Plan'!BH:BH)</f>
        <v>830099</v>
      </c>
      <c r="DG40" s="35">
        <f t="shared" si="53"/>
        <v>62102.03094158863</v>
      </c>
      <c r="DH40" s="35">
        <f>SUMIF('5 Year Supply Plan'!A:A,'JZ_BRAND SPLITS'!C40,'5 Year Supply Plan'!BI:BI)</f>
        <v>797745</v>
      </c>
      <c r="DI40" s="35">
        <f t="shared" si="54"/>
        <v>59681.537591898821</v>
      </c>
      <c r="DJ40" s="35">
        <f>SUMIF('5 Year Supply Plan'!A:A,'JZ_BRAND SPLITS'!C40,'5 Year Supply Plan'!BJ:BJ)</f>
        <v>701599</v>
      </c>
      <c r="DK40" s="35">
        <f t="shared" si="55"/>
        <v>52488.586068152887</v>
      </c>
      <c r="DL40" s="35">
        <f>SUMIF('5 Year Supply Plan'!A:A,'JZ_BRAND SPLITS'!C40,'5 Year Supply Plan'!BK:BK)</f>
        <v>722492</v>
      </c>
      <c r="DM40" s="35">
        <f t="shared" si="56"/>
        <v>54051.64991049291</v>
      </c>
      <c r="DN40" s="42">
        <f>SUMIF('5 Year Supply Plan'!A:A,'JZ_BRAND SPLITS'!C40,'5 Year Supply Plan'!BL:BL)</f>
        <v>799900</v>
      </c>
      <c r="DO40" s="35">
        <f t="shared" si="57"/>
        <v>59842.759177130371</v>
      </c>
      <c r="DP40" s="35">
        <f>SUMIF('5 Year Supply Plan'!A:A,'JZ_BRAND SPLITS'!C40,'5 Year Supply Plan'!BM:BM)</f>
        <v>764232.5</v>
      </c>
      <c r="DQ40" s="35">
        <f t="shared" si="58"/>
        <v>57174.373612746953</v>
      </c>
      <c r="DR40" s="35">
        <f>SUMIF('5 Year Supply Plan'!A:A,'JZ_BRAND SPLITS'!C40,'5 Year Supply Plan'!BN:BN)</f>
        <v>764232.5</v>
      </c>
      <c r="DS40" s="35">
        <f t="shared" si="59"/>
        <v>57174.373612746953</v>
      </c>
      <c r="DT40" s="39">
        <f t="shared" si="60"/>
        <v>3078675.9545747703</v>
      </c>
      <c r="DU40" s="36">
        <f>SUMIF('5 Year Supply Plan'!A:A,'JZ_BRAND SPLITS'!C40,'5 Year Supply Plan'!BO:BO)</f>
        <v>41151727.125</v>
      </c>
    </row>
    <row r="41" spans="1:125" x14ac:dyDescent="0.25">
      <c r="A41" s="40" t="s">
        <v>268</v>
      </c>
      <c r="B41" s="40" t="s">
        <v>257</v>
      </c>
      <c r="C41" s="40" t="s">
        <v>98</v>
      </c>
      <c r="D41" s="40" t="str">
        <f t="shared" si="0"/>
        <v>C04ESUPER TORQUE MARKER BANDS</v>
      </c>
      <c r="E41" s="41">
        <v>1</v>
      </c>
      <c r="F41" s="35">
        <f>SUMIF('5 Year Supply Plan'!A:A,'JZ_BRAND SPLITS'!C41,'5 Year Supply Plan'!H:H)</f>
        <v>6000</v>
      </c>
      <c r="G41" s="35">
        <f t="shared" si="1"/>
        <v>6000</v>
      </c>
      <c r="H41" s="35">
        <f>SUMIF('5 Year Supply Plan'!A:A,'JZ_BRAND SPLITS'!C41,'5 Year Supply Plan'!I:I)</f>
        <v>7200</v>
      </c>
      <c r="I41" s="35">
        <f t="shared" si="2"/>
        <v>7200</v>
      </c>
      <c r="J41" s="35">
        <f>SUMIF('5 Year Supply Plan'!A:A,'JZ_BRAND SPLITS'!C41,'5 Year Supply Plan'!J:J)</f>
        <v>6000</v>
      </c>
      <c r="K41" s="35">
        <f t="shared" si="3"/>
        <v>6000</v>
      </c>
      <c r="L41" s="35">
        <f>SUMIF('5 Year Supply Plan'!A:A,'JZ_BRAND SPLITS'!C41,'5 Year Supply Plan'!K:K)</f>
        <v>4284</v>
      </c>
      <c r="M41" s="35">
        <f t="shared" si="4"/>
        <v>4284</v>
      </c>
      <c r="N41" s="35">
        <f>SUMIF('5 Year Supply Plan'!A:A,'JZ_BRAND SPLITS'!C41,'5 Year Supply Plan'!L:L)</f>
        <v>6330</v>
      </c>
      <c r="O41" s="35">
        <f t="shared" si="5"/>
        <v>6330</v>
      </c>
      <c r="P41" s="35">
        <f>SUMIF('5 Year Supply Plan'!A:A,'JZ_BRAND SPLITS'!C41,'5 Year Supply Plan'!M:M)</f>
        <v>6699</v>
      </c>
      <c r="Q41" s="35">
        <f t="shared" si="6"/>
        <v>6699</v>
      </c>
      <c r="R41" s="35">
        <f>SUMIF('5 Year Supply Plan'!A:A,'JZ_BRAND SPLITS'!C41,'5 Year Supply Plan'!N:N)</f>
        <v>6215</v>
      </c>
      <c r="S41" s="35">
        <f t="shared" si="7"/>
        <v>6215</v>
      </c>
      <c r="T41" s="35">
        <f>SUMIF('5 Year Supply Plan'!A:A,'JZ_BRAND SPLITS'!C41,'5 Year Supply Plan'!O:O)</f>
        <v>6389</v>
      </c>
      <c r="U41" s="35">
        <f t="shared" si="8"/>
        <v>6389</v>
      </c>
      <c r="V41" s="35">
        <f>SUMIF('5 Year Supply Plan'!A:A,'JZ_BRAND SPLITS'!C41,'5 Year Supply Plan'!P:P)</f>
        <v>5901</v>
      </c>
      <c r="W41" s="35">
        <f t="shared" si="9"/>
        <v>5901</v>
      </c>
      <c r="X41" s="35">
        <f>SUMIF('5 Year Supply Plan'!A:A,'JZ_BRAND SPLITS'!C41,'5 Year Supply Plan'!Q:Q)</f>
        <v>5223</v>
      </c>
      <c r="Y41" s="35">
        <f t="shared" si="10"/>
        <v>5223</v>
      </c>
      <c r="Z41" s="35">
        <f>SUMIF('5 Year Supply Plan'!A:A,'JZ_BRAND SPLITS'!C41,'5 Year Supply Plan'!R:R)</f>
        <v>4967</v>
      </c>
      <c r="AA41" s="35">
        <f t="shared" si="11"/>
        <v>4967</v>
      </c>
      <c r="AB41" s="35">
        <f>SUMIF('5 Year Supply Plan'!A:A,'JZ_BRAND SPLITS'!C41,'5 Year Supply Plan'!S:S)</f>
        <v>6112</v>
      </c>
      <c r="AC41" s="35">
        <f t="shared" si="12"/>
        <v>6112</v>
      </c>
      <c r="AD41" s="35">
        <f>SUMIF('5 Year Supply Plan'!A:A,'JZ_BRAND SPLITS'!C41,'5 Year Supply Plan'!T:T)</f>
        <v>5536</v>
      </c>
      <c r="AE41" s="35">
        <f t="shared" si="13"/>
        <v>5536</v>
      </c>
      <c r="AF41" s="35">
        <f>SUMIF('5 Year Supply Plan'!A:A,'JZ_BRAND SPLITS'!C41,'5 Year Supply Plan'!U:U)</f>
        <v>5890</v>
      </c>
      <c r="AG41" s="35">
        <f t="shared" si="14"/>
        <v>5890</v>
      </c>
      <c r="AH41" s="35">
        <f>SUMIF('5 Year Supply Plan'!A:A,'JZ_BRAND SPLITS'!C41,'5 Year Supply Plan'!V:V)</f>
        <v>6977</v>
      </c>
      <c r="AI41" s="35">
        <f t="shared" si="15"/>
        <v>6977</v>
      </c>
      <c r="AJ41" s="35">
        <f>SUMIF('5 Year Supply Plan'!A:A,'JZ_BRAND SPLITS'!C41,'5 Year Supply Plan'!W:W)</f>
        <v>7012</v>
      </c>
      <c r="AK41" s="35">
        <f t="shared" si="16"/>
        <v>7012</v>
      </c>
      <c r="AL41" s="35">
        <f>SUMIF('5 Year Supply Plan'!A:A,'JZ_BRAND SPLITS'!C41,'5 Year Supply Plan'!X:X)</f>
        <v>7213</v>
      </c>
      <c r="AM41" s="35">
        <f t="shared" si="17"/>
        <v>7213</v>
      </c>
      <c r="AN41" s="35">
        <f>SUMIF('5 Year Supply Plan'!A:A,'JZ_BRAND SPLITS'!C41,'5 Year Supply Plan'!Y:Y)</f>
        <v>6979</v>
      </c>
      <c r="AO41" s="35">
        <f t="shared" si="18"/>
        <v>6979</v>
      </c>
      <c r="AP41" s="35">
        <f>SUMIF('5 Year Supply Plan'!A:A,'JZ_BRAND SPLITS'!C41,'5 Year Supply Plan'!Z:Z)</f>
        <v>6443</v>
      </c>
      <c r="AQ41" s="35">
        <f t="shared" si="19"/>
        <v>6443</v>
      </c>
      <c r="AR41" s="35">
        <f>SUMIF('5 Year Supply Plan'!A:A,'JZ_BRAND SPLITS'!C41,'5 Year Supply Plan'!AA:AA)</f>
        <v>6628</v>
      </c>
      <c r="AS41" s="35">
        <f t="shared" si="20"/>
        <v>6628</v>
      </c>
      <c r="AT41" s="35">
        <f>SUMIF('5 Year Supply Plan'!A:A,'JZ_BRAND SPLITS'!C41,'5 Year Supply Plan'!AB:AB)</f>
        <v>6097</v>
      </c>
      <c r="AU41" s="35">
        <f t="shared" si="21"/>
        <v>6097</v>
      </c>
      <c r="AV41" s="35">
        <f>SUMIF('5 Year Supply Plan'!A:A,'JZ_BRAND SPLITS'!C41,'5 Year Supply Plan'!AC:AC)</f>
        <v>5169</v>
      </c>
      <c r="AW41" s="35">
        <f t="shared" si="22"/>
        <v>5169</v>
      </c>
      <c r="AX41" s="35">
        <f>SUMIF('5 Year Supply Plan'!A:A,'JZ_BRAND SPLITS'!C41,'5 Year Supply Plan'!AD:AD)</f>
        <v>4954</v>
      </c>
      <c r="AY41" s="35">
        <f t="shared" si="23"/>
        <v>4954</v>
      </c>
      <c r="AZ41" s="35">
        <f>SUMIF('5 Year Supply Plan'!A:A,'JZ_BRAND SPLITS'!C41,'5 Year Supply Plan'!AE:AE)</f>
        <v>6068</v>
      </c>
      <c r="BA41" s="35">
        <f t="shared" si="24"/>
        <v>6068</v>
      </c>
      <c r="BB41" s="35">
        <f>SUMIF('5 Year Supply Plan'!A:A,'JZ_BRAND SPLITS'!C41,'5 Year Supply Plan'!AF:AF)</f>
        <v>5512</v>
      </c>
      <c r="BC41" s="35">
        <f t="shared" si="25"/>
        <v>5512</v>
      </c>
      <c r="BD41" s="35">
        <f>SUMIF('5 Year Supply Plan'!A:A,'JZ_BRAND SPLITS'!C41,'5 Year Supply Plan'!AG:AG)</f>
        <v>5861</v>
      </c>
      <c r="BE41" s="35">
        <f t="shared" si="26"/>
        <v>5861</v>
      </c>
      <c r="BF41" s="35">
        <f>SUMIF('5 Year Supply Plan'!A:A,'JZ_BRAND SPLITS'!C41,'5 Year Supply Plan'!AH:AH)</f>
        <v>7024</v>
      </c>
      <c r="BG41" s="35">
        <f t="shared" si="27"/>
        <v>7024</v>
      </c>
      <c r="BH41" s="35">
        <f>SUMIF('5 Year Supply Plan'!A:A,'JZ_BRAND SPLITS'!C41,'5 Year Supply Plan'!AI:AI)</f>
        <v>7053</v>
      </c>
      <c r="BI41" s="35">
        <f t="shared" si="28"/>
        <v>7053</v>
      </c>
      <c r="BJ41" s="35">
        <f>SUMIF('5 Year Supply Plan'!A:A,'JZ_BRAND SPLITS'!C41,'5 Year Supply Plan'!AJ:AJ)</f>
        <v>7258</v>
      </c>
      <c r="BK41" s="35">
        <f t="shared" si="29"/>
        <v>7258</v>
      </c>
      <c r="BL41" s="35">
        <f>SUMIF('5 Year Supply Plan'!A:A,'JZ_BRAND SPLITS'!C41,'5 Year Supply Plan'!AK:AK)</f>
        <v>6988</v>
      </c>
      <c r="BM41" s="35">
        <f t="shared" si="30"/>
        <v>6988</v>
      </c>
      <c r="BN41" s="35">
        <f>SUMIF('5 Year Supply Plan'!A:A,'JZ_BRAND SPLITS'!C41,'5 Year Supply Plan'!AL:AL)</f>
        <v>6493</v>
      </c>
      <c r="BO41" s="35">
        <f t="shared" si="31"/>
        <v>6493</v>
      </c>
      <c r="BP41" s="35">
        <f>SUMIF('5 Year Supply Plan'!A:A,'JZ_BRAND SPLITS'!C41,'5 Year Supply Plan'!AM:AM)</f>
        <v>6751</v>
      </c>
      <c r="BQ41" s="35">
        <f t="shared" si="32"/>
        <v>6751</v>
      </c>
      <c r="BR41" s="35">
        <f>SUMIF('5 Year Supply Plan'!A:A,'JZ_BRAND SPLITS'!C41,'5 Year Supply Plan'!AN:AN)</f>
        <v>6248</v>
      </c>
      <c r="BS41" s="35">
        <f t="shared" si="33"/>
        <v>6248</v>
      </c>
      <c r="BT41" s="35">
        <f>SUMIF('5 Year Supply Plan'!A:A,'JZ_BRAND SPLITS'!C41,'5 Year Supply Plan'!AO:AO)</f>
        <v>5551</v>
      </c>
      <c r="BU41" s="35">
        <f t="shared" si="34"/>
        <v>5551</v>
      </c>
      <c r="BV41" s="35">
        <f>SUMIF('5 Year Supply Plan'!A:A,'JZ_BRAND SPLITS'!C41,'5 Year Supply Plan'!AP:AP)</f>
        <v>5351</v>
      </c>
      <c r="BW41" s="35">
        <f t="shared" si="35"/>
        <v>5351</v>
      </c>
      <c r="BX41" s="35">
        <f>SUMIF('5 Year Supply Plan'!A:A,'JZ_BRAND SPLITS'!C41,'5 Year Supply Plan'!AQ:AQ)</f>
        <v>6548</v>
      </c>
      <c r="BY41" s="35">
        <f t="shared" si="36"/>
        <v>6548</v>
      </c>
      <c r="BZ41" s="35">
        <f>SUMIF('5 Year Supply Plan'!A:A,'JZ_BRAND SPLITS'!C41,'5 Year Supply Plan'!AR:AR)</f>
        <v>5945</v>
      </c>
      <c r="CA41" s="35">
        <f t="shared" si="37"/>
        <v>5945</v>
      </c>
      <c r="CB41" s="35">
        <f>SUMIF('5 Year Supply Plan'!A:A,'JZ_BRAND SPLITS'!C41,'5 Year Supply Plan'!AS:AS)</f>
        <v>6326</v>
      </c>
      <c r="CC41" s="35">
        <f t="shared" si="38"/>
        <v>6326</v>
      </c>
      <c r="CD41" s="35">
        <f>SUMIF('5 Year Supply Plan'!A:A,'JZ_BRAND SPLITS'!C41,'5 Year Supply Plan'!AT:AT)</f>
        <v>7610</v>
      </c>
      <c r="CE41" s="35">
        <f t="shared" si="39"/>
        <v>7610</v>
      </c>
      <c r="CF41" s="35">
        <f>SUMIF('5 Year Supply Plan'!A:A,'JZ_BRAND SPLITS'!C41,'5 Year Supply Plan'!AU:AU)</f>
        <v>7636</v>
      </c>
      <c r="CG41" s="35">
        <f t="shared" si="40"/>
        <v>7636</v>
      </c>
      <c r="CH41" s="35">
        <f>SUMIF('5 Year Supply Plan'!A:A,'JZ_BRAND SPLITS'!C41,'5 Year Supply Plan'!AV:AV)</f>
        <v>7858</v>
      </c>
      <c r="CI41" s="35">
        <f t="shared" si="41"/>
        <v>7858</v>
      </c>
      <c r="CJ41" s="35">
        <f>SUMIF('5 Year Supply Plan'!A:A,'JZ_BRAND SPLITS'!C41,'5 Year Supply Plan'!AW:AW)</f>
        <v>7562</v>
      </c>
      <c r="CK41" s="35">
        <f t="shared" si="42"/>
        <v>7562</v>
      </c>
      <c r="CL41" s="35">
        <f>SUMIF('5 Year Supply Plan'!A:A,'JZ_BRAND SPLITS'!C41,'5 Year Supply Plan'!AX:AX)</f>
        <v>7036</v>
      </c>
      <c r="CM41" s="35">
        <f t="shared" si="43"/>
        <v>7036</v>
      </c>
      <c r="CN41" s="35">
        <f>SUMIF('5 Year Supply Plan'!A:A,'JZ_BRAND SPLITS'!C41,'5 Year Supply Plan'!AY:AY)</f>
        <v>7251</v>
      </c>
      <c r="CO41" s="35">
        <f t="shared" si="44"/>
        <v>7251</v>
      </c>
      <c r="CP41" s="35">
        <f>SUMIF('5 Year Supply Plan'!A:A,'JZ_BRAND SPLITS'!C41,'5 Year Supply Plan'!AZ:AZ)</f>
        <v>6668</v>
      </c>
      <c r="CQ41" s="35">
        <f t="shared" si="45"/>
        <v>6668</v>
      </c>
      <c r="CR41" s="35">
        <f>SUMIF('5 Year Supply Plan'!A:A,'JZ_BRAND SPLITS'!C41,'5 Year Supply Plan'!BA:BA)</f>
        <v>5950</v>
      </c>
      <c r="CS41" s="35">
        <f t="shared" si="46"/>
        <v>5950</v>
      </c>
      <c r="CT41" s="35">
        <f>SUMIF('5 Year Supply Plan'!A:A,'JZ_BRAND SPLITS'!C41,'5 Year Supply Plan'!BB:BB)</f>
        <v>5745</v>
      </c>
      <c r="CU41" s="35">
        <f t="shared" si="47"/>
        <v>5745</v>
      </c>
      <c r="CV41" s="35">
        <f>SUMIF('5 Year Supply Plan'!A:A,'JZ_BRAND SPLITS'!C41,'5 Year Supply Plan'!BC:BC)</f>
        <v>7071</v>
      </c>
      <c r="CW41" s="35">
        <f t="shared" si="48"/>
        <v>7071</v>
      </c>
      <c r="CX41" s="35">
        <f>SUMIF('5 Year Supply Plan'!A:A,'JZ_BRAND SPLITS'!C41,'5 Year Supply Plan'!BD:BD)</f>
        <v>6407</v>
      </c>
      <c r="CY41" s="35">
        <f t="shared" si="49"/>
        <v>6407</v>
      </c>
      <c r="CZ41" s="35">
        <f>SUMIF('5 Year Supply Plan'!A:A,'JZ_BRAND SPLITS'!C41,'5 Year Supply Plan'!BE:BE)</f>
        <v>6833</v>
      </c>
      <c r="DA41" s="35">
        <f t="shared" si="50"/>
        <v>6833</v>
      </c>
      <c r="DB41" s="35">
        <f>SUMIF('5 Year Supply Plan'!A:A,'JZ_BRAND SPLITS'!C41,'5 Year Supply Plan'!BF:BF)</f>
        <v>8225</v>
      </c>
      <c r="DC41" s="35">
        <f t="shared" si="51"/>
        <v>8225</v>
      </c>
      <c r="DD41" s="35">
        <f>SUMIF('5 Year Supply Plan'!A:A,'JZ_BRAND SPLITS'!C41,'5 Year Supply Plan'!BG:BG)</f>
        <v>8255</v>
      </c>
      <c r="DE41" s="35">
        <f t="shared" si="52"/>
        <v>8255</v>
      </c>
      <c r="DF41" s="35">
        <f>SUMIF('5 Year Supply Plan'!A:A,'JZ_BRAND SPLITS'!C41,'5 Year Supply Plan'!BH:BH)</f>
        <v>8497</v>
      </c>
      <c r="DG41" s="35">
        <f t="shared" si="53"/>
        <v>8497</v>
      </c>
      <c r="DH41" s="35">
        <f>SUMIF('5 Year Supply Plan'!A:A,'JZ_BRAND SPLITS'!C41,'5 Year Supply Plan'!BI:BI)</f>
        <v>8053</v>
      </c>
      <c r="DI41" s="35">
        <f t="shared" si="54"/>
        <v>8053</v>
      </c>
      <c r="DJ41" s="35">
        <f>SUMIF('5 Year Supply Plan'!A:A,'JZ_BRAND SPLITS'!C41,'5 Year Supply Plan'!BJ:BJ)</f>
        <v>7336</v>
      </c>
      <c r="DK41" s="35">
        <f t="shared" si="55"/>
        <v>7336</v>
      </c>
      <c r="DL41" s="35">
        <f>SUMIF('5 Year Supply Plan'!A:A,'JZ_BRAND SPLITS'!C41,'5 Year Supply Plan'!BK:BK)</f>
        <v>7082</v>
      </c>
      <c r="DM41" s="35">
        <f t="shared" si="56"/>
        <v>7082</v>
      </c>
      <c r="DN41" s="42">
        <f>SUMIF('5 Year Supply Plan'!A:A,'JZ_BRAND SPLITS'!C41,'5 Year Supply Plan'!BL:BL)</f>
        <v>6806</v>
      </c>
      <c r="DO41" s="35">
        <f t="shared" si="57"/>
        <v>6806</v>
      </c>
      <c r="DP41" s="35">
        <f>SUMIF('5 Year Supply Plan'!A:A,'JZ_BRAND SPLITS'!C41,'5 Year Supply Plan'!BM:BM)</f>
        <v>7586</v>
      </c>
      <c r="DQ41" s="35">
        <f t="shared" si="58"/>
        <v>7586</v>
      </c>
      <c r="DR41" s="35">
        <f>SUMIF('5 Year Supply Plan'!A:A,'JZ_BRAND SPLITS'!C41,'5 Year Supply Plan'!BN:BN)</f>
        <v>7586</v>
      </c>
      <c r="DS41" s="35">
        <f t="shared" si="59"/>
        <v>7586</v>
      </c>
      <c r="DT41" s="39">
        <f t="shared" si="60"/>
        <v>388248</v>
      </c>
      <c r="DU41" s="36">
        <f>SUMIF('5 Year Supply Plan'!A:A,'JZ_BRAND SPLITS'!C41,'5 Year Supply Plan'!BO:BO)</f>
        <v>388248</v>
      </c>
    </row>
    <row r="42" spans="1:125" x14ac:dyDescent="0.25">
      <c r="A42" s="40" t="s">
        <v>269</v>
      </c>
      <c r="B42" s="40" t="s">
        <v>257</v>
      </c>
      <c r="C42" s="40" t="s">
        <v>73</v>
      </c>
      <c r="D42" s="40" t="str">
        <f t="shared" si="0"/>
        <v>C05CATH EXT</v>
      </c>
      <c r="E42" s="41">
        <v>1</v>
      </c>
      <c r="F42" s="35">
        <f>SUMIF('5 Year Supply Plan'!A:A,'JZ_BRAND SPLITS'!C42,'5 Year Supply Plan'!H:H)</f>
        <v>1352.0988769999999</v>
      </c>
      <c r="G42" s="35">
        <f t="shared" si="1"/>
        <v>1352.0988769999999</v>
      </c>
      <c r="H42" s="35">
        <f>SUMIF('5 Year Supply Plan'!A:A,'JZ_BRAND SPLITS'!C42,'5 Year Supply Plan'!I:I)</f>
        <v>1666.8413089999999</v>
      </c>
      <c r="I42" s="35">
        <f t="shared" si="2"/>
        <v>1666.8413089999999</v>
      </c>
      <c r="J42" s="35">
        <f>SUMIF('5 Year Supply Plan'!A:A,'JZ_BRAND SPLITS'!C42,'5 Year Supply Plan'!J:J)</f>
        <v>1382.830933</v>
      </c>
      <c r="K42" s="35">
        <f t="shared" si="3"/>
        <v>1382.830933</v>
      </c>
      <c r="L42" s="35">
        <f>SUMIF('5 Year Supply Plan'!A:A,'JZ_BRAND SPLITS'!C42,'5 Year Supply Plan'!K:K)</f>
        <v>900</v>
      </c>
      <c r="M42" s="35">
        <f t="shared" si="4"/>
        <v>900</v>
      </c>
      <c r="N42" s="35">
        <f>SUMIF('5 Year Supply Plan'!A:A,'JZ_BRAND SPLITS'!C42,'5 Year Supply Plan'!L:L)</f>
        <v>500</v>
      </c>
      <c r="O42" s="35">
        <f t="shared" si="5"/>
        <v>500</v>
      </c>
      <c r="P42" s="35">
        <f>SUMIF('5 Year Supply Plan'!A:A,'JZ_BRAND SPLITS'!C42,'5 Year Supply Plan'!M:M)</f>
        <v>800</v>
      </c>
      <c r="Q42" s="35">
        <f t="shared" si="6"/>
        <v>800</v>
      </c>
      <c r="R42" s="35">
        <f>SUMIF('5 Year Supply Plan'!A:A,'JZ_BRAND SPLITS'!C42,'5 Year Supply Plan'!N:N)</f>
        <v>900</v>
      </c>
      <c r="S42" s="35">
        <f t="shared" si="7"/>
        <v>900</v>
      </c>
      <c r="T42" s="35">
        <f>SUMIF('5 Year Supply Plan'!A:A,'JZ_BRAND SPLITS'!C42,'5 Year Supply Plan'!O:O)</f>
        <v>900</v>
      </c>
      <c r="U42" s="35">
        <f t="shared" si="8"/>
        <v>900</v>
      </c>
      <c r="V42" s="35">
        <f>SUMIF('5 Year Supply Plan'!A:A,'JZ_BRAND SPLITS'!C42,'5 Year Supply Plan'!P:P)</f>
        <v>900</v>
      </c>
      <c r="W42" s="35">
        <f t="shared" si="9"/>
        <v>900</v>
      </c>
      <c r="X42" s="35">
        <f>SUMIF('5 Year Supply Plan'!A:A,'JZ_BRAND SPLITS'!C42,'5 Year Supply Plan'!Q:Q)</f>
        <v>900</v>
      </c>
      <c r="Y42" s="35">
        <f t="shared" si="10"/>
        <v>900</v>
      </c>
      <c r="Z42" s="35">
        <f>SUMIF('5 Year Supply Plan'!A:A,'JZ_BRAND SPLITS'!C42,'5 Year Supply Plan'!R:R)</f>
        <v>900</v>
      </c>
      <c r="AA42" s="35">
        <f t="shared" si="11"/>
        <v>900</v>
      </c>
      <c r="AB42" s="35">
        <f>SUMIF('5 Year Supply Plan'!A:A,'JZ_BRAND SPLITS'!C42,'5 Year Supply Plan'!S:S)</f>
        <v>1241</v>
      </c>
      <c r="AC42" s="35">
        <f t="shared" si="12"/>
        <v>1241</v>
      </c>
      <c r="AD42" s="35">
        <f>SUMIF('5 Year Supply Plan'!A:A,'JZ_BRAND SPLITS'!C42,'5 Year Supply Plan'!T:T)</f>
        <v>1116</v>
      </c>
      <c r="AE42" s="35">
        <f t="shared" si="13"/>
        <v>1116</v>
      </c>
      <c r="AF42" s="35">
        <f>SUMIF('5 Year Supply Plan'!A:A,'JZ_BRAND SPLITS'!C42,'5 Year Supply Plan'!U:U)</f>
        <v>1121</v>
      </c>
      <c r="AG42" s="35">
        <f t="shared" si="14"/>
        <v>1121</v>
      </c>
      <c r="AH42" s="35">
        <f>SUMIF('5 Year Supply Plan'!A:A,'JZ_BRAND SPLITS'!C42,'5 Year Supply Plan'!V:V)</f>
        <v>1177</v>
      </c>
      <c r="AI42" s="35">
        <f t="shared" si="15"/>
        <v>1177</v>
      </c>
      <c r="AJ42" s="35">
        <f>SUMIF('5 Year Supply Plan'!A:A,'JZ_BRAND SPLITS'!C42,'5 Year Supply Plan'!W:W)</f>
        <v>1105</v>
      </c>
      <c r="AK42" s="35">
        <f t="shared" si="16"/>
        <v>1105</v>
      </c>
      <c r="AL42" s="35">
        <f>SUMIF('5 Year Supply Plan'!A:A,'JZ_BRAND SPLITS'!C42,'5 Year Supply Plan'!X:X)</f>
        <v>1120</v>
      </c>
      <c r="AM42" s="35">
        <f t="shared" si="17"/>
        <v>1120</v>
      </c>
      <c r="AN42" s="35">
        <f>SUMIF('5 Year Supply Plan'!A:A,'JZ_BRAND SPLITS'!C42,'5 Year Supply Plan'!Y:Y)</f>
        <v>1154</v>
      </c>
      <c r="AO42" s="35">
        <f t="shared" si="18"/>
        <v>1154</v>
      </c>
      <c r="AP42" s="35">
        <f>SUMIF('5 Year Supply Plan'!A:A,'JZ_BRAND SPLITS'!C42,'5 Year Supply Plan'!Z:Z)</f>
        <v>1057</v>
      </c>
      <c r="AQ42" s="35">
        <f t="shared" si="19"/>
        <v>1057</v>
      </c>
      <c r="AR42" s="35">
        <f>SUMIF('5 Year Supply Plan'!A:A,'JZ_BRAND SPLITS'!C42,'5 Year Supply Plan'!AA:AA)</f>
        <v>1077</v>
      </c>
      <c r="AS42" s="35">
        <f t="shared" si="20"/>
        <v>1077</v>
      </c>
      <c r="AT42" s="35">
        <f>SUMIF('5 Year Supply Plan'!A:A,'JZ_BRAND SPLITS'!C42,'5 Year Supply Plan'!AB:AB)</f>
        <v>1101</v>
      </c>
      <c r="AU42" s="35">
        <f t="shared" si="21"/>
        <v>1101</v>
      </c>
      <c r="AV42" s="35">
        <f>SUMIF('5 Year Supply Plan'!A:A,'JZ_BRAND SPLITS'!C42,'5 Year Supply Plan'!AC:AC)</f>
        <v>1226</v>
      </c>
      <c r="AW42" s="35">
        <f t="shared" si="22"/>
        <v>1226</v>
      </c>
      <c r="AX42" s="35">
        <f>SUMIF('5 Year Supply Plan'!A:A,'JZ_BRAND SPLITS'!C42,'5 Year Supply Plan'!AD:AD)</f>
        <v>1067</v>
      </c>
      <c r="AY42" s="35">
        <f t="shared" si="23"/>
        <v>1067</v>
      </c>
      <c r="AZ42" s="35">
        <f>SUMIF('5 Year Supply Plan'!A:A,'JZ_BRAND SPLITS'!C42,'5 Year Supply Plan'!AE:AE)</f>
        <v>1298</v>
      </c>
      <c r="BA42" s="35">
        <f t="shared" si="24"/>
        <v>1298</v>
      </c>
      <c r="BB42" s="35">
        <f>SUMIF('5 Year Supply Plan'!A:A,'JZ_BRAND SPLITS'!C42,'5 Year Supply Plan'!AF:AF)</f>
        <v>1169</v>
      </c>
      <c r="BC42" s="35">
        <f t="shared" si="25"/>
        <v>1169</v>
      </c>
      <c r="BD42" s="35">
        <f>SUMIF('5 Year Supply Plan'!A:A,'JZ_BRAND SPLITS'!C42,'5 Year Supply Plan'!AG:AG)</f>
        <v>1171</v>
      </c>
      <c r="BE42" s="35">
        <f t="shared" si="26"/>
        <v>1171</v>
      </c>
      <c r="BF42" s="35">
        <f>SUMIF('5 Year Supply Plan'!A:A,'JZ_BRAND SPLITS'!C42,'5 Year Supply Plan'!AH:AH)</f>
        <v>1231</v>
      </c>
      <c r="BG42" s="35">
        <f t="shared" si="27"/>
        <v>1231</v>
      </c>
      <c r="BH42" s="35">
        <f>SUMIF('5 Year Supply Plan'!A:A,'JZ_BRAND SPLITS'!C42,'5 Year Supply Plan'!AI:AI)</f>
        <v>1155</v>
      </c>
      <c r="BI42" s="35">
        <f t="shared" si="28"/>
        <v>1155</v>
      </c>
      <c r="BJ42" s="35">
        <f>SUMIF('5 Year Supply Plan'!A:A,'JZ_BRAND SPLITS'!C42,'5 Year Supply Plan'!AJ:AJ)</f>
        <v>1173</v>
      </c>
      <c r="BK42" s="35">
        <f t="shared" si="29"/>
        <v>1173</v>
      </c>
      <c r="BL42" s="35">
        <f>SUMIF('5 Year Supply Plan'!A:A,'JZ_BRAND SPLITS'!C42,'5 Year Supply Plan'!AK:AK)</f>
        <v>1206</v>
      </c>
      <c r="BM42" s="35">
        <f t="shared" si="30"/>
        <v>1206</v>
      </c>
      <c r="BN42" s="35">
        <f>SUMIF('5 Year Supply Plan'!A:A,'JZ_BRAND SPLITS'!C42,'5 Year Supply Plan'!AL:AL)</f>
        <v>1105</v>
      </c>
      <c r="BO42" s="35">
        <f t="shared" si="31"/>
        <v>1105</v>
      </c>
      <c r="BP42" s="35">
        <f>SUMIF('5 Year Supply Plan'!A:A,'JZ_BRAND SPLITS'!C42,'5 Year Supply Plan'!AM:AM)</f>
        <v>1126</v>
      </c>
      <c r="BQ42" s="35">
        <f t="shared" si="32"/>
        <v>1126</v>
      </c>
      <c r="BR42" s="35">
        <f>SUMIF('5 Year Supply Plan'!A:A,'JZ_BRAND SPLITS'!C42,'5 Year Supply Plan'!AN:AN)</f>
        <v>1151</v>
      </c>
      <c r="BS42" s="35">
        <f t="shared" si="33"/>
        <v>1151</v>
      </c>
      <c r="BT42" s="35">
        <f>SUMIF('5 Year Supply Plan'!A:A,'JZ_BRAND SPLITS'!C42,'5 Year Supply Plan'!AO:AO)</f>
        <v>1280</v>
      </c>
      <c r="BU42" s="35">
        <f t="shared" si="34"/>
        <v>1280</v>
      </c>
      <c r="BV42" s="35">
        <f>SUMIF('5 Year Supply Plan'!A:A,'JZ_BRAND SPLITS'!C42,'5 Year Supply Plan'!AP:AP)</f>
        <v>1113</v>
      </c>
      <c r="BW42" s="35">
        <f t="shared" si="35"/>
        <v>1113</v>
      </c>
      <c r="BX42" s="35">
        <f>SUMIF('5 Year Supply Plan'!A:A,'JZ_BRAND SPLITS'!C42,'5 Year Supply Plan'!AQ:AQ)</f>
        <v>1357</v>
      </c>
      <c r="BY42" s="35">
        <f t="shared" si="36"/>
        <v>1357</v>
      </c>
      <c r="BZ42" s="35">
        <f>SUMIF('5 Year Supply Plan'!A:A,'JZ_BRAND SPLITS'!C42,'5 Year Supply Plan'!AR:AR)</f>
        <v>1221</v>
      </c>
      <c r="CA42" s="35">
        <f t="shared" si="37"/>
        <v>1221</v>
      </c>
      <c r="CB42" s="35">
        <f>SUMIF('5 Year Supply Plan'!A:A,'JZ_BRAND SPLITS'!C42,'5 Year Supply Plan'!AS:AS)</f>
        <v>1223</v>
      </c>
      <c r="CC42" s="35">
        <f t="shared" si="38"/>
        <v>1223</v>
      </c>
      <c r="CD42" s="35">
        <f>SUMIF('5 Year Supply Plan'!A:A,'JZ_BRAND SPLITS'!C42,'5 Year Supply Plan'!AT:AT)</f>
        <v>1285</v>
      </c>
      <c r="CE42" s="35">
        <f t="shared" si="39"/>
        <v>1285</v>
      </c>
      <c r="CF42" s="35">
        <f>SUMIF('5 Year Supply Plan'!A:A,'JZ_BRAND SPLITS'!C42,'5 Year Supply Plan'!AU:AU)</f>
        <v>1207</v>
      </c>
      <c r="CG42" s="35">
        <f t="shared" si="40"/>
        <v>1207</v>
      </c>
      <c r="CH42" s="35">
        <f>SUMIF('5 Year Supply Plan'!A:A,'JZ_BRAND SPLITS'!C42,'5 Year Supply Plan'!AV:AV)</f>
        <v>1226</v>
      </c>
      <c r="CI42" s="35">
        <f t="shared" si="41"/>
        <v>1226</v>
      </c>
      <c r="CJ42" s="35">
        <f>SUMIF('5 Year Supply Plan'!A:A,'JZ_BRAND SPLITS'!C42,'5 Year Supply Plan'!AW:AW)</f>
        <v>1264</v>
      </c>
      <c r="CK42" s="35">
        <f t="shared" si="42"/>
        <v>1264</v>
      </c>
      <c r="CL42" s="35">
        <f>SUMIF('5 Year Supply Plan'!A:A,'JZ_BRAND SPLITS'!C42,'5 Year Supply Plan'!AX:AX)</f>
        <v>1163</v>
      </c>
      <c r="CM42" s="35">
        <f t="shared" si="43"/>
        <v>1163</v>
      </c>
      <c r="CN42" s="35">
        <f>SUMIF('5 Year Supply Plan'!A:A,'JZ_BRAND SPLITS'!C42,'5 Year Supply Plan'!AY:AY)</f>
        <v>1185</v>
      </c>
      <c r="CO42" s="35">
        <f t="shared" si="44"/>
        <v>1185</v>
      </c>
      <c r="CP42" s="35">
        <f>SUMIF('5 Year Supply Plan'!A:A,'JZ_BRAND SPLITS'!C42,'5 Year Supply Plan'!AZ:AZ)</f>
        <v>1212</v>
      </c>
      <c r="CQ42" s="35">
        <f t="shared" si="45"/>
        <v>1212</v>
      </c>
      <c r="CR42" s="35">
        <f>SUMIF('5 Year Supply Plan'!A:A,'JZ_BRAND SPLITS'!C42,'5 Year Supply Plan'!BA:BA)</f>
        <v>1351</v>
      </c>
      <c r="CS42" s="35">
        <f t="shared" si="46"/>
        <v>1351</v>
      </c>
      <c r="CT42" s="35">
        <f>SUMIF('5 Year Supply Plan'!A:A,'JZ_BRAND SPLITS'!C42,'5 Year Supply Plan'!BB:BB)</f>
        <v>1177</v>
      </c>
      <c r="CU42" s="35">
        <f t="shared" si="47"/>
        <v>1177</v>
      </c>
      <c r="CV42" s="35">
        <f>SUMIF('5 Year Supply Plan'!A:A,'JZ_BRAND SPLITS'!C42,'5 Year Supply Plan'!BC:BC)</f>
        <v>1429</v>
      </c>
      <c r="CW42" s="35">
        <f t="shared" si="48"/>
        <v>1429</v>
      </c>
      <c r="CX42" s="35">
        <f>SUMIF('5 Year Supply Plan'!A:A,'JZ_BRAND SPLITS'!C42,'5 Year Supply Plan'!BD:BD)</f>
        <v>1290</v>
      </c>
      <c r="CY42" s="35">
        <f t="shared" si="49"/>
        <v>1290</v>
      </c>
      <c r="CZ42" s="35">
        <f>SUMIF('5 Year Supply Plan'!A:A,'JZ_BRAND SPLITS'!C42,'5 Year Supply Plan'!BE:BE)</f>
        <v>1289</v>
      </c>
      <c r="DA42" s="35">
        <f t="shared" si="50"/>
        <v>1289</v>
      </c>
      <c r="DB42" s="35">
        <f>SUMIF('5 Year Supply Plan'!A:A,'JZ_BRAND SPLITS'!C42,'5 Year Supply Plan'!BF:BF)</f>
        <v>1355</v>
      </c>
      <c r="DC42" s="35">
        <f t="shared" si="51"/>
        <v>1355</v>
      </c>
      <c r="DD42" s="35">
        <f>SUMIF('5 Year Supply Plan'!A:A,'JZ_BRAND SPLITS'!C42,'5 Year Supply Plan'!BG:BG)</f>
        <v>1275</v>
      </c>
      <c r="DE42" s="35">
        <f t="shared" si="52"/>
        <v>1275</v>
      </c>
      <c r="DF42" s="35">
        <f>SUMIF('5 Year Supply Plan'!A:A,'JZ_BRAND SPLITS'!C42,'5 Year Supply Plan'!BH:BH)</f>
        <v>1296</v>
      </c>
      <c r="DG42" s="35">
        <f t="shared" si="53"/>
        <v>1296</v>
      </c>
      <c r="DH42" s="35">
        <f>SUMIF('5 Year Supply Plan'!A:A,'JZ_BRAND SPLITS'!C42,'5 Year Supply Plan'!BI:BI)</f>
        <v>1345</v>
      </c>
      <c r="DI42" s="35">
        <f t="shared" si="54"/>
        <v>1345</v>
      </c>
      <c r="DJ42" s="35">
        <f>SUMIF('5 Year Supply Plan'!A:A,'JZ_BRAND SPLITS'!C42,'5 Year Supply Plan'!BJ:BJ)</f>
        <v>1221</v>
      </c>
      <c r="DK42" s="35">
        <f t="shared" si="55"/>
        <v>1221</v>
      </c>
      <c r="DL42" s="35">
        <f>SUMIF('5 Year Supply Plan'!A:A,'JZ_BRAND SPLITS'!C42,'5 Year Supply Plan'!BK:BK)</f>
        <v>1236</v>
      </c>
      <c r="DM42" s="35">
        <f t="shared" si="56"/>
        <v>1236</v>
      </c>
      <c r="DN42" s="42">
        <f>SUMIF('5 Year Supply Plan'!A:A,'JZ_BRAND SPLITS'!C42,'5 Year Supply Plan'!BL:BL)</f>
        <v>1337</v>
      </c>
      <c r="DO42" s="35">
        <f t="shared" si="57"/>
        <v>1337</v>
      </c>
      <c r="DP42" s="35">
        <f>SUMIF('5 Year Supply Plan'!A:A,'JZ_BRAND SPLITS'!C42,'5 Year Supply Plan'!BM:BM)</f>
        <v>1288.375</v>
      </c>
      <c r="DQ42" s="35">
        <f t="shared" si="58"/>
        <v>1288.375</v>
      </c>
      <c r="DR42" s="35">
        <f>SUMIF('5 Year Supply Plan'!A:A,'JZ_BRAND SPLITS'!C42,'5 Year Supply Plan'!BN:BN)</f>
        <v>1288.375</v>
      </c>
      <c r="DS42" s="35">
        <f t="shared" si="59"/>
        <v>1288.375</v>
      </c>
      <c r="DT42" s="39">
        <f t="shared" si="60"/>
        <v>69362.521118999997</v>
      </c>
      <c r="DU42" s="36">
        <f>SUMIF('5 Year Supply Plan'!A:A,'JZ_BRAND SPLITS'!C42,'5 Year Supply Plan'!BO:BO)</f>
        <v>69362.521118999997</v>
      </c>
    </row>
    <row r="43" spans="1:125" x14ac:dyDescent="0.25">
      <c r="A43" s="40" t="s">
        <v>269</v>
      </c>
      <c r="B43" s="40" t="s">
        <v>257</v>
      </c>
      <c r="C43" s="40" t="s">
        <v>82</v>
      </c>
      <c r="D43" s="40" t="str">
        <f t="shared" si="0"/>
        <v>C05INFINITI (MODIFIED)</v>
      </c>
      <c r="E43" s="41">
        <v>1</v>
      </c>
      <c r="F43" s="35">
        <f>SUMIF('5 Year Supply Plan'!A:A,'JZ_BRAND SPLITS'!C43,'5 Year Supply Plan'!H:H)</f>
        <v>8349.7030640000012</v>
      </c>
      <c r="G43" s="35">
        <f t="shared" si="1"/>
        <v>8349.7030640000012</v>
      </c>
      <c r="H43" s="35">
        <f>SUMIF('5 Year Supply Plan'!A:A,'JZ_BRAND SPLITS'!C43,'5 Year Supply Plan'!I:I)</f>
        <v>9697.070984</v>
      </c>
      <c r="I43" s="35">
        <f t="shared" si="2"/>
        <v>9697.070984</v>
      </c>
      <c r="J43" s="35">
        <f>SUMIF('5 Year Supply Plan'!A:A,'JZ_BRAND SPLITS'!C43,'5 Year Supply Plan'!J:J)</f>
        <v>8112.9989009999999</v>
      </c>
      <c r="K43" s="35">
        <f t="shared" si="3"/>
        <v>8112.9989009999999</v>
      </c>
      <c r="L43" s="35">
        <f>SUMIF('5 Year Supply Plan'!A:A,'JZ_BRAND SPLITS'!C43,'5 Year Supply Plan'!K:K)</f>
        <v>7889</v>
      </c>
      <c r="M43" s="35">
        <f t="shared" si="4"/>
        <v>7889</v>
      </c>
      <c r="N43" s="35">
        <f>SUMIF('5 Year Supply Plan'!A:A,'JZ_BRAND SPLITS'!C43,'5 Year Supply Plan'!L:L)</f>
        <v>8417</v>
      </c>
      <c r="O43" s="35">
        <f t="shared" si="5"/>
        <v>8417</v>
      </c>
      <c r="P43" s="35">
        <f>SUMIF('5 Year Supply Plan'!A:A,'JZ_BRAND SPLITS'!C43,'5 Year Supply Plan'!M:M)</f>
        <v>8593</v>
      </c>
      <c r="Q43" s="35">
        <f t="shared" si="6"/>
        <v>8593</v>
      </c>
      <c r="R43" s="35">
        <f>SUMIF('5 Year Supply Plan'!A:A,'JZ_BRAND SPLITS'!C43,'5 Year Supply Plan'!N:N)</f>
        <v>7372</v>
      </c>
      <c r="S43" s="35">
        <f t="shared" si="7"/>
        <v>7372</v>
      </c>
      <c r="T43" s="35">
        <f>SUMIF('5 Year Supply Plan'!A:A,'JZ_BRAND SPLITS'!C43,'5 Year Supply Plan'!O:O)</f>
        <v>5061</v>
      </c>
      <c r="U43" s="35">
        <f t="shared" si="8"/>
        <v>5061</v>
      </c>
      <c r="V43" s="35">
        <f>SUMIF('5 Year Supply Plan'!A:A,'JZ_BRAND SPLITS'!C43,'5 Year Supply Plan'!P:P)</f>
        <v>2128</v>
      </c>
      <c r="W43" s="35">
        <f t="shared" si="9"/>
        <v>2128</v>
      </c>
      <c r="X43" s="35">
        <f>SUMIF('5 Year Supply Plan'!A:A,'JZ_BRAND SPLITS'!C43,'5 Year Supply Plan'!Q:Q)</f>
        <v>2407</v>
      </c>
      <c r="Y43" s="35">
        <f t="shared" si="10"/>
        <v>2407</v>
      </c>
      <c r="Z43" s="35">
        <f>SUMIF('5 Year Supply Plan'!A:A,'JZ_BRAND SPLITS'!C43,'5 Year Supply Plan'!R:R)</f>
        <v>1</v>
      </c>
      <c r="AA43" s="35">
        <f t="shared" si="11"/>
        <v>1</v>
      </c>
      <c r="AB43" s="35">
        <f>SUMIF('5 Year Supply Plan'!A:A,'JZ_BRAND SPLITS'!C43,'5 Year Supply Plan'!S:S)</f>
        <v>2880</v>
      </c>
      <c r="AC43" s="35">
        <f t="shared" si="12"/>
        <v>2880</v>
      </c>
      <c r="AD43" s="35">
        <f>SUMIF('5 Year Supply Plan'!A:A,'JZ_BRAND SPLITS'!C43,'5 Year Supply Plan'!T:T)</f>
        <v>2677</v>
      </c>
      <c r="AE43" s="35">
        <f t="shared" si="13"/>
        <v>2677</v>
      </c>
      <c r="AF43" s="35">
        <f>SUMIF('5 Year Supply Plan'!A:A,'JZ_BRAND SPLITS'!C43,'5 Year Supply Plan'!U:U)</f>
        <v>2626</v>
      </c>
      <c r="AG43" s="35">
        <f t="shared" si="14"/>
        <v>2626</v>
      </c>
      <c r="AH43" s="35">
        <f>SUMIF('5 Year Supply Plan'!A:A,'JZ_BRAND SPLITS'!C43,'5 Year Supply Plan'!V:V)</f>
        <v>2823</v>
      </c>
      <c r="AI43" s="35">
        <f t="shared" si="15"/>
        <v>2823</v>
      </c>
      <c r="AJ43" s="35">
        <f>SUMIF('5 Year Supply Plan'!A:A,'JZ_BRAND SPLITS'!C43,'5 Year Supply Plan'!W:W)</f>
        <v>2575</v>
      </c>
      <c r="AK43" s="35">
        <f t="shared" si="16"/>
        <v>2575</v>
      </c>
      <c r="AL43" s="35">
        <f>SUMIF('5 Year Supply Plan'!A:A,'JZ_BRAND SPLITS'!C43,'5 Year Supply Plan'!X:X)</f>
        <v>2647</v>
      </c>
      <c r="AM43" s="35">
        <f t="shared" si="17"/>
        <v>2647</v>
      </c>
      <c r="AN43" s="35">
        <f>SUMIF('5 Year Supply Plan'!A:A,'JZ_BRAND SPLITS'!C43,'5 Year Supply Plan'!Y:Y)</f>
        <v>2410</v>
      </c>
      <c r="AO43" s="35">
        <f t="shared" si="18"/>
        <v>2410</v>
      </c>
      <c r="AP43" s="35">
        <f>SUMIF('5 Year Supply Plan'!A:A,'JZ_BRAND SPLITS'!C43,'5 Year Supply Plan'!Z:Z)</f>
        <v>2165</v>
      </c>
      <c r="AQ43" s="35">
        <f t="shared" si="19"/>
        <v>2165</v>
      </c>
      <c r="AR43" s="35">
        <f>SUMIF('5 Year Supply Plan'!A:A,'JZ_BRAND SPLITS'!C43,'5 Year Supply Plan'!AA:AA)</f>
        <v>2311</v>
      </c>
      <c r="AS43" s="35">
        <f t="shared" si="20"/>
        <v>2311</v>
      </c>
      <c r="AT43" s="35">
        <f>SUMIF('5 Year Supply Plan'!A:A,'JZ_BRAND SPLITS'!C43,'5 Year Supply Plan'!AB:AB)</f>
        <v>2492</v>
      </c>
      <c r="AU43" s="35">
        <f t="shared" si="21"/>
        <v>2492</v>
      </c>
      <c r="AV43" s="35">
        <f>SUMIF('5 Year Supply Plan'!A:A,'JZ_BRAND SPLITS'!C43,'5 Year Supply Plan'!AC:AC)</f>
        <v>2553</v>
      </c>
      <c r="AW43" s="35">
        <f t="shared" si="22"/>
        <v>2553</v>
      </c>
      <c r="AX43" s="35">
        <f>SUMIF('5 Year Supply Plan'!A:A,'JZ_BRAND SPLITS'!C43,'5 Year Supply Plan'!AD:AD)</f>
        <v>2857</v>
      </c>
      <c r="AY43" s="35">
        <f t="shared" si="23"/>
        <v>2857</v>
      </c>
      <c r="AZ43" s="35">
        <f>SUMIF('5 Year Supply Plan'!A:A,'JZ_BRAND SPLITS'!C43,'5 Year Supply Plan'!AE:AE)</f>
        <v>3088</v>
      </c>
      <c r="BA43" s="35">
        <f t="shared" si="24"/>
        <v>3088</v>
      </c>
      <c r="BB43" s="35">
        <f>SUMIF('5 Year Supply Plan'!A:A,'JZ_BRAND SPLITS'!C43,'5 Year Supply Plan'!AF:AF)</f>
        <v>2869</v>
      </c>
      <c r="BC43" s="35">
        <f t="shared" si="25"/>
        <v>2869</v>
      </c>
      <c r="BD43" s="35">
        <f>SUMIF('5 Year Supply Plan'!A:A,'JZ_BRAND SPLITS'!C43,'5 Year Supply Plan'!AG:AG)</f>
        <v>2815</v>
      </c>
      <c r="BE43" s="35">
        <f t="shared" si="26"/>
        <v>2815</v>
      </c>
      <c r="BF43" s="35">
        <f>SUMIF('5 Year Supply Plan'!A:A,'JZ_BRAND SPLITS'!C43,'5 Year Supply Plan'!AH:AH)</f>
        <v>3026</v>
      </c>
      <c r="BG43" s="35">
        <f t="shared" si="27"/>
        <v>3026</v>
      </c>
      <c r="BH43" s="35">
        <f>SUMIF('5 Year Supply Plan'!A:A,'JZ_BRAND SPLITS'!C43,'5 Year Supply Plan'!AI:AI)</f>
        <v>2760</v>
      </c>
      <c r="BI43" s="35">
        <f t="shared" si="28"/>
        <v>2760</v>
      </c>
      <c r="BJ43" s="35">
        <f>SUMIF('5 Year Supply Plan'!A:A,'JZ_BRAND SPLITS'!C43,'5 Year Supply Plan'!AJ:AJ)</f>
        <v>2838</v>
      </c>
      <c r="BK43" s="35">
        <f t="shared" si="29"/>
        <v>2838</v>
      </c>
      <c r="BL43" s="35">
        <f>SUMIF('5 Year Supply Plan'!A:A,'JZ_BRAND SPLITS'!C43,'5 Year Supply Plan'!AK:AK)</f>
        <v>2584</v>
      </c>
      <c r="BM43" s="35">
        <f t="shared" si="30"/>
        <v>2584</v>
      </c>
      <c r="BN43" s="35">
        <f>SUMIF('5 Year Supply Plan'!A:A,'JZ_BRAND SPLITS'!C43,'5 Year Supply Plan'!AL:AL)</f>
        <v>2320</v>
      </c>
      <c r="BO43" s="35">
        <f t="shared" si="31"/>
        <v>2320</v>
      </c>
      <c r="BP43" s="35">
        <f>SUMIF('5 Year Supply Plan'!A:A,'JZ_BRAND SPLITS'!C43,'5 Year Supply Plan'!AM:AM)</f>
        <v>2479</v>
      </c>
      <c r="BQ43" s="35">
        <f t="shared" si="32"/>
        <v>2479</v>
      </c>
      <c r="BR43" s="35">
        <f>SUMIF('5 Year Supply Plan'!A:A,'JZ_BRAND SPLITS'!C43,'5 Year Supply Plan'!AN:AN)</f>
        <v>2671</v>
      </c>
      <c r="BS43" s="35">
        <f t="shared" si="33"/>
        <v>2671</v>
      </c>
      <c r="BT43" s="35">
        <f>SUMIF('5 Year Supply Plan'!A:A,'JZ_BRAND SPLITS'!C43,'5 Year Supply Plan'!AO:AO)</f>
        <v>2731</v>
      </c>
      <c r="BU43" s="35">
        <f t="shared" si="34"/>
        <v>2731</v>
      </c>
      <c r="BV43" s="35">
        <f>SUMIF('5 Year Supply Plan'!A:A,'JZ_BRAND SPLITS'!C43,'5 Year Supply Plan'!AP:AP)</f>
        <v>3056</v>
      </c>
      <c r="BW43" s="35">
        <f t="shared" si="35"/>
        <v>3056</v>
      </c>
      <c r="BX43" s="35">
        <f>SUMIF('5 Year Supply Plan'!A:A,'JZ_BRAND SPLITS'!C43,'5 Year Supply Plan'!AQ:AQ)</f>
        <v>3304</v>
      </c>
      <c r="BY43" s="35">
        <f t="shared" si="36"/>
        <v>3304</v>
      </c>
      <c r="BZ43" s="35">
        <f>SUMIF('5 Year Supply Plan'!A:A,'JZ_BRAND SPLITS'!C43,'5 Year Supply Plan'!AR:AR)</f>
        <v>3069</v>
      </c>
      <c r="CA43" s="35">
        <f t="shared" si="37"/>
        <v>3069</v>
      </c>
      <c r="CB43" s="35">
        <f>SUMIF('5 Year Supply Plan'!A:A,'JZ_BRAND SPLITS'!C43,'5 Year Supply Plan'!AS:AS)</f>
        <v>3012</v>
      </c>
      <c r="CC43" s="35">
        <f t="shared" si="38"/>
        <v>3012</v>
      </c>
      <c r="CD43" s="35">
        <f>SUMIF('5 Year Supply Plan'!A:A,'JZ_BRAND SPLITS'!C43,'5 Year Supply Plan'!AT:AT)</f>
        <v>3239</v>
      </c>
      <c r="CE43" s="35">
        <f t="shared" si="39"/>
        <v>3239</v>
      </c>
      <c r="CF43" s="35">
        <f>SUMIF('5 Year Supply Plan'!A:A,'JZ_BRAND SPLITS'!C43,'5 Year Supply Plan'!AU:AU)</f>
        <v>2955</v>
      </c>
      <c r="CG43" s="35">
        <f t="shared" si="40"/>
        <v>2955</v>
      </c>
      <c r="CH43" s="35">
        <f>SUMIF('5 Year Supply Plan'!A:A,'JZ_BRAND SPLITS'!C43,'5 Year Supply Plan'!AV:AV)</f>
        <v>3036</v>
      </c>
      <c r="CI43" s="35">
        <f t="shared" si="41"/>
        <v>3036</v>
      </c>
      <c r="CJ43" s="35">
        <f>SUMIF('5 Year Supply Plan'!A:A,'JZ_BRAND SPLITS'!C43,'5 Year Supply Plan'!AW:AW)</f>
        <v>2764</v>
      </c>
      <c r="CK43" s="35">
        <f t="shared" si="42"/>
        <v>2764</v>
      </c>
      <c r="CL43" s="35">
        <f>SUMIF('5 Year Supply Plan'!A:A,'JZ_BRAND SPLITS'!C43,'5 Year Supply Plan'!AX:AX)</f>
        <v>2483</v>
      </c>
      <c r="CM43" s="35">
        <f t="shared" si="43"/>
        <v>2483</v>
      </c>
      <c r="CN43" s="35">
        <f>SUMIF('5 Year Supply Plan'!A:A,'JZ_BRAND SPLITS'!C43,'5 Year Supply Plan'!AY:AY)</f>
        <v>2652</v>
      </c>
      <c r="CO43" s="35">
        <f t="shared" si="44"/>
        <v>2652</v>
      </c>
      <c r="CP43" s="35">
        <f>SUMIF('5 Year Supply Plan'!A:A,'JZ_BRAND SPLITS'!C43,'5 Year Supply Plan'!AZ:AZ)</f>
        <v>2859</v>
      </c>
      <c r="CQ43" s="35">
        <f t="shared" si="45"/>
        <v>2859</v>
      </c>
      <c r="CR43" s="35">
        <f>SUMIF('5 Year Supply Plan'!A:A,'JZ_BRAND SPLITS'!C43,'5 Year Supply Plan'!BA:BA)</f>
        <v>2931</v>
      </c>
      <c r="CS43" s="35">
        <f t="shared" si="46"/>
        <v>2931</v>
      </c>
      <c r="CT43" s="35">
        <f>SUMIF('5 Year Supply Plan'!A:A,'JZ_BRAND SPLITS'!C43,'5 Year Supply Plan'!BB:BB)</f>
        <v>3280</v>
      </c>
      <c r="CU43" s="35">
        <f t="shared" si="47"/>
        <v>3280</v>
      </c>
      <c r="CV43" s="35">
        <f>SUMIF('5 Year Supply Plan'!A:A,'JZ_BRAND SPLITS'!C43,'5 Year Supply Plan'!BC:BC)</f>
        <v>3546</v>
      </c>
      <c r="CW43" s="35">
        <f t="shared" si="48"/>
        <v>3546</v>
      </c>
      <c r="CX43" s="35">
        <f>SUMIF('5 Year Supply Plan'!A:A,'JZ_BRAND SPLITS'!C43,'5 Year Supply Plan'!BD:BD)</f>
        <v>3293</v>
      </c>
      <c r="CY43" s="35">
        <f t="shared" si="49"/>
        <v>3293</v>
      </c>
      <c r="CZ43" s="35">
        <f>SUMIF('5 Year Supply Plan'!A:A,'JZ_BRAND SPLITS'!C43,'5 Year Supply Plan'!BE:BE)</f>
        <v>3231</v>
      </c>
      <c r="DA43" s="35">
        <f t="shared" si="50"/>
        <v>3231</v>
      </c>
      <c r="DB43" s="35">
        <f>SUMIF('5 Year Supply Plan'!A:A,'JZ_BRAND SPLITS'!C43,'5 Year Supply Plan'!BF:BF)</f>
        <v>3475</v>
      </c>
      <c r="DC43" s="35">
        <f t="shared" si="51"/>
        <v>3475</v>
      </c>
      <c r="DD43" s="35">
        <f>SUMIF('5 Year Supply Plan'!A:A,'JZ_BRAND SPLITS'!C43,'5 Year Supply Plan'!BG:BG)</f>
        <v>3169</v>
      </c>
      <c r="DE43" s="35">
        <f t="shared" si="52"/>
        <v>3169</v>
      </c>
      <c r="DF43" s="35">
        <f>SUMIF('5 Year Supply Plan'!A:A,'JZ_BRAND SPLITS'!C43,'5 Year Supply Plan'!BH:BH)</f>
        <v>3259</v>
      </c>
      <c r="DG43" s="35">
        <f t="shared" si="53"/>
        <v>3259</v>
      </c>
      <c r="DH43" s="35">
        <f>SUMIF('5 Year Supply Plan'!A:A,'JZ_BRAND SPLITS'!C43,'5 Year Supply Plan'!BI:BI)</f>
        <v>2967</v>
      </c>
      <c r="DI43" s="35">
        <f t="shared" si="54"/>
        <v>2967</v>
      </c>
      <c r="DJ43" s="35">
        <f>SUMIF('5 Year Supply Plan'!A:A,'JZ_BRAND SPLITS'!C43,'5 Year Supply Plan'!BJ:BJ)</f>
        <v>896</v>
      </c>
      <c r="DK43" s="35">
        <f t="shared" si="55"/>
        <v>896</v>
      </c>
      <c r="DL43" s="35">
        <f>SUMIF('5 Year Supply Plan'!A:A,'JZ_BRAND SPLITS'!C43,'5 Year Supply Plan'!BK:BK)</f>
        <v>3081</v>
      </c>
      <c r="DM43" s="35">
        <f t="shared" si="56"/>
        <v>3081</v>
      </c>
      <c r="DN43" s="42">
        <f>SUMIF('5 Year Supply Plan'!A:A,'JZ_BRAND SPLITS'!C43,'5 Year Supply Plan'!BL:BL)</f>
        <v>6181</v>
      </c>
      <c r="DO43" s="35">
        <f t="shared" si="57"/>
        <v>6181</v>
      </c>
      <c r="DP43" s="35">
        <f>SUMIF('5 Year Supply Plan'!A:A,'JZ_BRAND SPLITS'!C43,'5 Year Supply Plan'!BM:BM)</f>
        <v>2921.375</v>
      </c>
      <c r="DQ43" s="35">
        <f t="shared" si="58"/>
        <v>2921.375</v>
      </c>
      <c r="DR43" s="35">
        <f>SUMIF('5 Year Supply Plan'!A:A,'JZ_BRAND SPLITS'!C43,'5 Year Supply Plan'!BN:BN)</f>
        <v>2921.375</v>
      </c>
      <c r="DS43" s="35">
        <f t="shared" si="59"/>
        <v>2921.375</v>
      </c>
      <c r="DT43" s="39">
        <f t="shared" si="60"/>
        <v>206805.52294900001</v>
      </c>
      <c r="DU43" s="36">
        <f>SUMIF('5 Year Supply Plan'!A:A,'JZ_BRAND SPLITS'!C43,'5 Year Supply Plan'!BO:BO)</f>
        <v>206805.52294900001</v>
      </c>
    </row>
    <row r="44" spans="1:125" x14ac:dyDescent="0.25">
      <c r="A44" s="40" t="s">
        <v>269</v>
      </c>
      <c r="B44" s="40" t="s">
        <v>257</v>
      </c>
      <c r="C44" s="40" t="s">
        <v>100</v>
      </c>
      <c r="D44" s="40" t="str">
        <f t="shared" si="0"/>
        <v>C05SUPERTORQUE (MODIFIED)</v>
      </c>
      <c r="E44" s="41">
        <v>1</v>
      </c>
      <c r="F44" s="35">
        <f>SUMIF('5 Year Supply Plan'!A:A,'JZ_BRAND SPLITS'!C44,'5 Year Supply Plan'!H:H)</f>
        <v>0</v>
      </c>
      <c r="G44" s="35">
        <f t="shared" si="1"/>
        <v>0</v>
      </c>
      <c r="H44" s="35">
        <f>SUMIF('5 Year Supply Plan'!A:A,'JZ_BRAND SPLITS'!C44,'5 Year Supply Plan'!I:I)</f>
        <v>0</v>
      </c>
      <c r="I44" s="35">
        <f t="shared" si="2"/>
        <v>0</v>
      </c>
      <c r="J44" s="35">
        <f>SUMIF('5 Year Supply Plan'!A:A,'JZ_BRAND SPLITS'!C44,'5 Year Supply Plan'!J:J)</f>
        <v>0</v>
      </c>
      <c r="K44" s="35">
        <f t="shared" si="3"/>
        <v>0</v>
      </c>
      <c r="L44" s="35">
        <f>SUMIF('5 Year Supply Plan'!A:A,'JZ_BRAND SPLITS'!C44,'5 Year Supply Plan'!K:K)</f>
        <v>0</v>
      </c>
      <c r="M44" s="35">
        <f t="shared" si="4"/>
        <v>0</v>
      </c>
      <c r="N44" s="35">
        <f>SUMIF('5 Year Supply Plan'!A:A,'JZ_BRAND SPLITS'!C44,'5 Year Supply Plan'!L:L)</f>
        <v>0</v>
      </c>
      <c r="O44" s="35">
        <f t="shared" si="5"/>
        <v>0</v>
      </c>
      <c r="P44" s="35">
        <f>SUMIF('5 Year Supply Plan'!A:A,'JZ_BRAND SPLITS'!C44,'5 Year Supply Plan'!M:M)</f>
        <v>0</v>
      </c>
      <c r="Q44" s="35">
        <f t="shared" si="6"/>
        <v>0</v>
      </c>
      <c r="R44" s="35">
        <f>SUMIF('5 Year Supply Plan'!A:A,'JZ_BRAND SPLITS'!C44,'5 Year Supply Plan'!N:N)</f>
        <v>0</v>
      </c>
      <c r="S44" s="35">
        <f t="shared" si="7"/>
        <v>0</v>
      </c>
      <c r="T44" s="35">
        <f>SUMIF('5 Year Supply Plan'!A:A,'JZ_BRAND SPLITS'!C44,'5 Year Supply Plan'!O:O)</f>
        <v>0</v>
      </c>
      <c r="U44" s="35">
        <f t="shared" si="8"/>
        <v>0</v>
      </c>
      <c r="V44" s="35">
        <f>SUMIF('5 Year Supply Plan'!A:A,'JZ_BRAND SPLITS'!C44,'5 Year Supply Plan'!P:P)</f>
        <v>0</v>
      </c>
      <c r="W44" s="35">
        <f t="shared" si="9"/>
        <v>0</v>
      </c>
      <c r="X44" s="35">
        <f>SUMIF('5 Year Supply Plan'!A:A,'JZ_BRAND SPLITS'!C44,'5 Year Supply Plan'!Q:Q)</f>
        <v>0</v>
      </c>
      <c r="Y44" s="35">
        <f t="shared" si="10"/>
        <v>0</v>
      </c>
      <c r="Z44" s="35">
        <f>SUMIF('5 Year Supply Plan'!A:A,'JZ_BRAND SPLITS'!C44,'5 Year Supply Plan'!R:R)</f>
        <v>0</v>
      </c>
      <c r="AA44" s="35">
        <f t="shared" si="11"/>
        <v>0</v>
      </c>
      <c r="AB44" s="35">
        <f>SUMIF('5 Year Supply Plan'!A:A,'JZ_BRAND SPLITS'!C44,'5 Year Supply Plan'!S:S)</f>
        <v>0</v>
      </c>
      <c r="AC44" s="35">
        <f t="shared" si="12"/>
        <v>0</v>
      </c>
      <c r="AD44" s="35">
        <f>SUMIF('5 Year Supply Plan'!A:A,'JZ_BRAND SPLITS'!C44,'5 Year Supply Plan'!T:T)</f>
        <v>0</v>
      </c>
      <c r="AE44" s="35">
        <f t="shared" si="13"/>
        <v>0</v>
      </c>
      <c r="AF44" s="35">
        <f>SUMIF('5 Year Supply Plan'!A:A,'JZ_BRAND SPLITS'!C44,'5 Year Supply Plan'!U:U)</f>
        <v>0</v>
      </c>
      <c r="AG44" s="35">
        <f t="shared" si="14"/>
        <v>0</v>
      </c>
      <c r="AH44" s="35">
        <f>SUMIF('5 Year Supply Plan'!A:A,'JZ_BRAND SPLITS'!C44,'5 Year Supply Plan'!V:V)</f>
        <v>0</v>
      </c>
      <c r="AI44" s="35">
        <f t="shared" si="15"/>
        <v>0</v>
      </c>
      <c r="AJ44" s="35">
        <f>SUMIF('5 Year Supply Plan'!A:A,'JZ_BRAND SPLITS'!C44,'5 Year Supply Plan'!W:W)</f>
        <v>0</v>
      </c>
      <c r="AK44" s="35">
        <f t="shared" si="16"/>
        <v>0</v>
      </c>
      <c r="AL44" s="35">
        <f>SUMIF('5 Year Supply Plan'!A:A,'JZ_BRAND SPLITS'!C44,'5 Year Supply Plan'!X:X)</f>
        <v>0</v>
      </c>
      <c r="AM44" s="35">
        <f t="shared" si="17"/>
        <v>0</v>
      </c>
      <c r="AN44" s="35">
        <f>SUMIF('5 Year Supply Plan'!A:A,'JZ_BRAND SPLITS'!C44,'5 Year Supply Plan'!Y:Y)</f>
        <v>0</v>
      </c>
      <c r="AO44" s="35">
        <f t="shared" si="18"/>
        <v>0</v>
      </c>
      <c r="AP44" s="35">
        <f>SUMIF('5 Year Supply Plan'!A:A,'JZ_BRAND SPLITS'!C44,'5 Year Supply Plan'!Z:Z)</f>
        <v>0</v>
      </c>
      <c r="AQ44" s="35">
        <f t="shared" si="19"/>
        <v>0</v>
      </c>
      <c r="AR44" s="35">
        <f>SUMIF('5 Year Supply Plan'!A:A,'JZ_BRAND SPLITS'!C44,'5 Year Supply Plan'!AA:AA)</f>
        <v>0</v>
      </c>
      <c r="AS44" s="35">
        <f t="shared" si="20"/>
        <v>0</v>
      </c>
      <c r="AT44" s="35">
        <f>SUMIF('5 Year Supply Plan'!A:A,'JZ_BRAND SPLITS'!C44,'5 Year Supply Plan'!AB:AB)</f>
        <v>0</v>
      </c>
      <c r="AU44" s="35">
        <f t="shared" si="21"/>
        <v>0</v>
      </c>
      <c r="AV44" s="35">
        <f>SUMIF('5 Year Supply Plan'!A:A,'JZ_BRAND SPLITS'!C44,'5 Year Supply Plan'!AC:AC)</f>
        <v>0</v>
      </c>
      <c r="AW44" s="35">
        <f t="shared" si="22"/>
        <v>0</v>
      </c>
      <c r="AX44" s="35">
        <f>SUMIF('5 Year Supply Plan'!A:A,'JZ_BRAND SPLITS'!C44,'5 Year Supply Plan'!AD:AD)</f>
        <v>0</v>
      </c>
      <c r="AY44" s="35">
        <f t="shared" si="23"/>
        <v>0</v>
      </c>
      <c r="AZ44" s="35">
        <f>SUMIF('5 Year Supply Plan'!A:A,'JZ_BRAND SPLITS'!C44,'5 Year Supply Plan'!AE:AE)</f>
        <v>0</v>
      </c>
      <c r="BA44" s="35">
        <f t="shared" si="24"/>
        <v>0</v>
      </c>
      <c r="BB44" s="35">
        <f>SUMIF('5 Year Supply Plan'!A:A,'JZ_BRAND SPLITS'!C44,'5 Year Supply Plan'!AF:AF)</f>
        <v>0</v>
      </c>
      <c r="BC44" s="35">
        <f t="shared" si="25"/>
        <v>0</v>
      </c>
      <c r="BD44" s="35">
        <f>SUMIF('5 Year Supply Plan'!A:A,'JZ_BRAND SPLITS'!C44,'5 Year Supply Plan'!AG:AG)</f>
        <v>0</v>
      </c>
      <c r="BE44" s="35">
        <f t="shared" si="26"/>
        <v>0</v>
      </c>
      <c r="BF44" s="35">
        <f>SUMIF('5 Year Supply Plan'!A:A,'JZ_BRAND SPLITS'!C44,'5 Year Supply Plan'!AH:AH)</f>
        <v>0</v>
      </c>
      <c r="BG44" s="35">
        <f t="shared" si="27"/>
        <v>0</v>
      </c>
      <c r="BH44" s="35">
        <f>SUMIF('5 Year Supply Plan'!A:A,'JZ_BRAND SPLITS'!C44,'5 Year Supply Plan'!AI:AI)</f>
        <v>0</v>
      </c>
      <c r="BI44" s="35">
        <f t="shared" si="28"/>
        <v>0</v>
      </c>
      <c r="BJ44" s="35">
        <f>SUMIF('5 Year Supply Plan'!A:A,'JZ_BRAND SPLITS'!C44,'5 Year Supply Plan'!AJ:AJ)</f>
        <v>0</v>
      </c>
      <c r="BK44" s="35">
        <f t="shared" si="29"/>
        <v>0</v>
      </c>
      <c r="BL44" s="35">
        <f>SUMIF('5 Year Supply Plan'!A:A,'JZ_BRAND SPLITS'!C44,'5 Year Supply Plan'!AK:AK)</f>
        <v>0</v>
      </c>
      <c r="BM44" s="35">
        <f t="shared" si="30"/>
        <v>0</v>
      </c>
      <c r="BN44" s="35">
        <f>SUMIF('5 Year Supply Plan'!A:A,'JZ_BRAND SPLITS'!C44,'5 Year Supply Plan'!AL:AL)</f>
        <v>0</v>
      </c>
      <c r="BO44" s="35">
        <f t="shared" si="31"/>
        <v>0</v>
      </c>
      <c r="BP44" s="35">
        <f>SUMIF('5 Year Supply Plan'!A:A,'JZ_BRAND SPLITS'!C44,'5 Year Supply Plan'!AM:AM)</f>
        <v>0</v>
      </c>
      <c r="BQ44" s="35">
        <f t="shared" si="32"/>
        <v>0</v>
      </c>
      <c r="BR44" s="35">
        <f>SUMIF('5 Year Supply Plan'!A:A,'JZ_BRAND SPLITS'!C44,'5 Year Supply Plan'!AN:AN)</f>
        <v>0</v>
      </c>
      <c r="BS44" s="35">
        <f t="shared" si="33"/>
        <v>0</v>
      </c>
      <c r="BT44" s="35">
        <f>SUMIF('5 Year Supply Plan'!A:A,'JZ_BRAND SPLITS'!C44,'5 Year Supply Plan'!AO:AO)</f>
        <v>0</v>
      </c>
      <c r="BU44" s="35">
        <f t="shared" si="34"/>
        <v>0</v>
      </c>
      <c r="BV44" s="35">
        <f>SUMIF('5 Year Supply Plan'!A:A,'JZ_BRAND SPLITS'!C44,'5 Year Supply Plan'!AP:AP)</f>
        <v>0</v>
      </c>
      <c r="BW44" s="35">
        <f t="shared" si="35"/>
        <v>0</v>
      </c>
      <c r="BX44" s="35">
        <f>SUMIF('5 Year Supply Plan'!A:A,'JZ_BRAND SPLITS'!C44,'5 Year Supply Plan'!AQ:AQ)</f>
        <v>0</v>
      </c>
      <c r="BY44" s="35">
        <f t="shared" si="36"/>
        <v>0</v>
      </c>
      <c r="BZ44" s="35">
        <f>SUMIF('5 Year Supply Plan'!A:A,'JZ_BRAND SPLITS'!C44,'5 Year Supply Plan'!AR:AR)</f>
        <v>0</v>
      </c>
      <c r="CA44" s="35">
        <f t="shared" si="37"/>
        <v>0</v>
      </c>
      <c r="CB44" s="35">
        <f>SUMIF('5 Year Supply Plan'!A:A,'JZ_BRAND SPLITS'!C44,'5 Year Supply Plan'!AS:AS)</f>
        <v>0</v>
      </c>
      <c r="CC44" s="35">
        <f t="shared" si="38"/>
        <v>0</v>
      </c>
      <c r="CD44" s="35">
        <f>SUMIF('5 Year Supply Plan'!A:A,'JZ_BRAND SPLITS'!C44,'5 Year Supply Plan'!AT:AT)</f>
        <v>0</v>
      </c>
      <c r="CE44" s="35">
        <f t="shared" si="39"/>
        <v>0</v>
      </c>
      <c r="CF44" s="35">
        <f>SUMIF('5 Year Supply Plan'!A:A,'JZ_BRAND SPLITS'!C44,'5 Year Supply Plan'!AU:AU)</f>
        <v>0</v>
      </c>
      <c r="CG44" s="35">
        <f t="shared" si="40"/>
        <v>0</v>
      </c>
      <c r="CH44" s="35">
        <f>SUMIF('5 Year Supply Plan'!A:A,'JZ_BRAND SPLITS'!C44,'5 Year Supply Plan'!AV:AV)</f>
        <v>0</v>
      </c>
      <c r="CI44" s="35">
        <f t="shared" si="41"/>
        <v>0</v>
      </c>
      <c r="CJ44" s="35">
        <f>SUMIF('5 Year Supply Plan'!A:A,'JZ_BRAND SPLITS'!C44,'5 Year Supply Plan'!AW:AW)</f>
        <v>0</v>
      </c>
      <c r="CK44" s="35">
        <f t="shared" si="42"/>
        <v>0</v>
      </c>
      <c r="CL44" s="35">
        <f>SUMIF('5 Year Supply Plan'!A:A,'JZ_BRAND SPLITS'!C44,'5 Year Supply Plan'!AX:AX)</f>
        <v>0</v>
      </c>
      <c r="CM44" s="35">
        <f t="shared" si="43"/>
        <v>0</v>
      </c>
      <c r="CN44" s="35">
        <f>SUMIF('5 Year Supply Plan'!A:A,'JZ_BRAND SPLITS'!C44,'5 Year Supply Plan'!AY:AY)</f>
        <v>0</v>
      </c>
      <c r="CO44" s="35">
        <f t="shared" si="44"/>
        <v>0</v>
      </c>
      <c r="CP44" s="35">
        <f>SUMIF('5 Year Supply Plan'!A:A,'JZ_BRAND SPLITS'!C44,'5 Year Supply Plan'!AZ:AZ)</f>
        <v>0</v>
      </c>
      <c r="CQ44" s="35">
        <f t="shared" si="45"/>
        <v>0</v>
      </c>
      <c r="CR44" s="35">
        <f>SUMIF('5 Year Supply Plan'!A:A,'JZ_BRAND SPLITS'!C44,'5 Year Supply Plan'!BA:BA)</f>
        <v>0</v>
      </c>
      <c r="CS44" s="35">
        <f t="shared" si="46"/>
        <v>0</v>
      </c>
      <c r="CT44" s="35">
        <f>SUMIF('5 Year Supply Plan'!A:A,'JZ_BRAND SPLITS'!C44,'5 Year Supply Plan'!BB:BB)</f>
        <v>0</v>
      </c>
      <c r="CU44" s="35">
        <f t="shared" si="47"/>
        <v>0</v>
      </c>
      <c r="CV44" s="35">
        <f>SUMIF('5 Year Supply Plan'!A:A,'JZ_BRAND SPLITS'!C44,'5 Year Supply Plan'!BC:BC)</f>
        <v>0</v>
      </c>
      <c r="CW44" s="35">
        <f t="shared" si="48"/>
        <v>0</v>
      </c>
      <c r="CX44" s="35">
        <f>SUMIF('5 Year Supply Plan'!A:A,'JZ_BRAND SPLITS'!C44,'5 Year Supply Plan'!BD:BD)</f>
        <v>0</v>
      </c>
      <c r="CY44" s="35">
        <f t="shared" si="49"/>
        <v>0</v>
      </c>
      <c r="CZ44" s="35">
        <f>SUMIF('5 Year Supply Plan'!A:A,'JZ_BRAND SPLITS'!C44,'5 Year Supply Plan'!BE:BE)</f>
        <v>0</v>
      </c>
      <c r="DA44" s="35">
        <f t="shared" si="50"/>
        <v>0</v>
      </c>
      <c r="DB44" s="35">
        <f>SUMIF('5 Year Supply Plan'!A:A,'JZ_BRAND SPLITS'!C44,'5 Year Supply Plan'!BF:BF)</f>
        <v>0</v>
      </c>
      <c r="DC44" s="35">
        <f t="shared" si="51"/>
        <v>0</v>
      </c>
      <c r="DD44" s="35">
        <f>SUMIF('5 Year Supply Plan'!A:A,'JZ_BRAND SPLITS'!C44,'5 Year Supply Plan'!BG:BG)</f>
        <v>0</v>
      </c>
      <c r="DE44" s="35">
        <f t="shared" si="52"/>
        <v>0</v>
      </c>
      <c r="DF44" s="35">
        <f>SUMIF('5 Year Supply Plan'!A:A,'JZ_BRAND SPLITS'!C44,'5 Year Supply Plan'!BH:BH)</f>
        <v>0</v>
      </c>
      <c r="DG44" s="35">
        <f t="shared" si="53"/>
        <v>0</v>
      </c>
      <c r="DH44" s="35">
        <f>SUMIF('5 Year Supply Plan'!A:A,'JZ_BRAND SPLITS'!C44,'5 Year Supply Plan'!BI:BI)</f>
        <v>0</v>
      </c>
      <c r="DI44" s="35">
        <f t="shared" si="54"/>
        <v>0</v>
      </c>
      <c r="DJ44" s="35">
        <f>SUMIF('5 Year Supply Plan'!A:A,'JZ_BRAND SPLITS'!C44,'5 Year Supply Plan'!BJ:BJ)</f>
        <v>0</v>
      </c>
      <c r="DK44" s="35">
        <f t="shared" si="55"/>
        <v>0</v>
      </c>
      <c r="DL44" s="35">
        <f>SUMIF('5 Year Supply Plan'!A:A,'JZ_BRAND SPLITS'!C44,'5 Year Supply Plan'!BK:BK)</f>
        <v>0</v>
      </c>
      <c r="DM44" s="35">
        <f t="shared" si="56"/>
        <v>0</v>
      </c>
      <c r="DN44" s="42">
        <f>SUMIF('5 Year Supply Plan'!A:A,'JZ_BRAND SPLITS'!C44,'5 Year Supply Plan'!BL:BL)</f>
        <v>0</v>
      </c>
      <c r="DO44" s="35">
        <f t="shared" si="57"/>
        <v>0</v>
      </c>
      <c r="DP44" s="35">
        <f>SUMIF('5 Year Supply Plan'!A:A,'JZ_BRAND SPLITS'!C44,'5 Year Supply Plan'!BM:BM)</f>
        <v>0</v>
      </c>
      <c r="DQ44" s="35">
        <f t="shared" si="58"/>
        <v>0</v>
      </c>
      <c r="DR44" s="35">
        <f>SUMIF('5 Year Supply Plan'!A:A,'JZ_BRAND SPLITS'!C44,'5 Year Supply Plan'!BN:BN)</f>
        <v>0</v>
      </c>
      <c r="DS44" s="35">
        <f t="shared" si="59"/>
        <v>0</v>
      </c>
      <c r="DT44" s="39">
        <f t="shared" si="60"/>
        <v>0</v>
      </c>
      <c r="DU44" s="36">
        <f>SUMIF('5 Year Supply Plan'!A:A,'JZ_BRAND SPLITS'!C44,'5 Year Supply Plan'!BO:BO)</f>
        <v>0</v>
      </c>
    </row>
    <row r="45" spans="1:125" x14ac:dyDescent="0.25">
      <c r="A45" s="40" t="s">
        <v>269</v>
      </c>
      <c r="B45" s="40" t="s">
        <v>257</v>
      </c>
      <c r="C45" s="40" t="s">
        <v>86</v>
      </c>
      <c r="D45" s="40" t="str">
        <f t="shared" si="0"/>
        <v>C05MULTIPACK (MODIFIED)</v>
      </c>
      <c r="E45" s="41">
        <v>0</v>
      </c>
      <c r="F45" s="35">
        <f>SUMIF('5 Year Supply Plan'!A:A,'JZ_BRAND SPLITS'!C45,'5 Year Supply Plan'!H:H)</f>
        <v>10732.130859000001</v>
      </c>
      <c r="G45" s="35">
        <f t="shared" si="1"/>
        <v>0</v>
      </c>
      <c r="H45" s="35">
        <f>SUMIF('5 Year Supply Plan'!A:A,'JZ_BRAND SPLITS'!C45,'5 Year Supply Plan'!I:I)</f>
        <v>11784.523438</v>
      </c>
      <c r="I45" s="35">
        <f t="shared" si="2"/>
        <v>0</v>
      </c>
      <c r="J45" s="35">
        <f>SUMIF('5 Year Supply Plan'!A:A,'JZ_BRAND SPLITS'!C45,'5 Year Supply Plan'!J:J)</f>
        <v>9860.8105469999991</v>
      </c>
      <c r="K45" s="35">
        <f t="shared" si="3"/>
        <v>0</v>
      </c>
      <c r="L45" s="35">
        <f>SUMIF('5 Year Supply Plan'!A:A,'JZ_BRAND SPLITS'!C45,'5 Year Supply Plan'!K:K)</f>
        <v>11325</v>
      </c>
      <c r="M45" s="35">
        <f t="shared" si="4"/>
        <v>0</v>
      </c>
      <c r="N45" s="35">
        <f>SUMIF('5 Year Supply Plan'!A:A,'JZ_BRAND SPLITS'!C45,'5 Year Supply Plan'!L:L)</f>
        <v>5876</v>
      </c>
      <c r="O45" s="35">
        <f t="shared" si="5"/>
        <v>0</v>
      </c>
      <c r="P45" s="35">
        <f>SUMIF('5 Year Supply Plan'!A:A,'JZ_BRAND SPLITS'!C45,'5 Year Supply Plan'!M:M)</f>
        <v>10311</v>
      </c>
      <c r="Q45" s="35">
        <f t="shared" si="6"/>
        <v>0</v>
      </c>
      <c r="R45" s="35">
        <f>SUMIF('5 Year Supply Plan'!A:A,'JZ_BRAND SPLITS'!C45,'5 Year Supply Plan'!N:N)</f>
        <v>8748</v>
      </c>
      <c r="S45" s="35">
        <f t="shared" si="7"/>
        <v>0</v>
      </c>
      <c r="T45" s="35">
        <f>SUMIF('5 Year Supply Plan'!A:A,'JZ_BRAND SPLITS'!C45,'5 Year Supply Plan'!O:O)</f>
        <v>6588</v>
      </c>
      <c r="U45" s="35">
        <f t="shared" si="8"/>
        <v>0</v>
      </c>
      <c r="V45" s="35">
        <f>SUMIF('5 Year Supply Plan'!A:A,'JZ_BRAND SPLITS'!C45,'5 Year Supply Plan'!P:P)</f>
        <v>3875</v>
      </c>
      <c r="W45" s="35">
        <f t="shared" si="9"/>
        <v>0</v>
      </c>
      <c r="X45" s="35">
        <f>SUMIF('5 Year Supply Plan'!A:A,'JZ_BRAND SPLITS'!C45,'5 Year Supply Plan'!Q:Q)</f>
        <v>3027</v>
      </c>
      <c r="Y45" s="35">
        <f t="shared" si="10"/>
        <v>0</v>
      </c>
      <c r="Z45" s="35">
        <f>SUMIF('5 Year Supply Plan'!A:A,'JZ_BRAND SPLITS'!C45,'5 Year Supply Plan'!R:R)</f>
        <v>2756</v>
      </c>
      <c r="AA45" s="35">
        <f t="shared" si="11"/>
        <v>0</v>
      </c>
      <c r="AB45" s="35">
        <f>SUMIF('5 Year Supply Plan'!A:A,'JZ_BRAND SPLITS'!C45,'5 Year Supply Plan'!S:S)</f>
        <v>3086</v>
      </c>
      <c r="AC45" s="35">
        <f t="shared" si="12"/>
        <v>0</v>
      </c>
      <c r="AD45" s="35">
        <f>SUMIF('5 Year Supply Plan'!A:A,'JZ_BRAND SPLITS'!C45,'5 Year Supply Plan'!T:T)</f>
        <v>3147</v>
      </c>
      <c r="AE45" s="35">
        <f t="shared" si="13"/>
        <v>0</v>
      </c>
      <c r="AF45" s="35">
        <f>SUMIF('5 Year Supply Plan'!A:A,'JZ_BRAND SPLITS'!C45,'5 Year Supply Plan'!U:U)</f>
        <v>2351</v>
      </c>
      <c r="AG45" s="35">
        <f t="shared" si="14"/>
        <v>0</v>
      </c>
      <c r="AH45" s="35">
        <f>SUMIF('5 Year Supply Plan'!A:A,'JZ_BRAND SPLITS'!C45,'5 Year Supply Plan'!V:V)</f>
        <v>2859</v>
      </c>
      <c r="AI45" s="35">
        <f t="shared" si="15"/>
        <v>0</v>
      </c>
      <c r="AJ45" s="35">
        <f>SUMIF('5 Year Supply Plan'!A:A,'JZ_BRAND SPLITS'!C45,'5 Year Supply Plan'!W:W)</f>
        <v>2600</v>
      </c>
      <c r="AK45" s="35">
        <f t="shared" si="16"/>
        <v>0</v>
      </c>
      <c r="AL45" s="35">
        <f>SUMIF('5 Year Supply Plan'!A:A,'JZ_BRAND SPLITS'!C45,'5 Year Supply Plan'!X:X)</f>
        <v>3077</v>
      </c>
      <c r="AM45" s="35">
        <f t="shared" si="17"/>
        <v>0</v>
      </c>
      <c r="AN45" s="35">
        <f>SUMIF('5 Year Supply Plan'!A:A,'JZ_BRAND SPLITS'!C45,'5 Year Supply Plan'!Y:Y)</f>
        <v>3817</v>
      </c>
      <c r="AO45" s="35">
        <f t="shared" si="18"/>
        <v>0</v>
      </c>
      <c r="AP45" s="35">
        <f>SUMIF('5 Year Supply Plan'!A:A,'JZ_BRAND SPLITS'!C45,'5 Year Supply Plan'!Z:Z)</f>
        <v>3302</v>
      </c>
      <c r="AQ45" s="35">
        <f t="shared" si="19"/>
        <v>0</v>
      </c>
      <c r="AR45" s="35">
        <f>SUMIF('5 Year Supply Plan'!A:A,'JZ_BRAND SPLITS'!C45,'5 Year Supply Plan'!AA:AA)</f>
        <v>3550</v>
      </c>
      <c r="AS45" s="35">
        <f t="shared" si="20"/>
        <v>0</v>
      </c>
      <c r="AT45" s="35">
        <f>SUMIF('5 Year Supply Plan'!A:A,'JZ_BRAND SPLITS'!C45,'5 Year Supply Plan'!AB:AB)</f>
        <v>3926</v>
      </c>
      <c r="AU45" s="35">
        <f t="shared" si="21"/>
        <v>0</v>
      </c>
      <c r="AV45" s="35">
        <f>SUMIF('5 Year Supply Plan'!A:A,'JZ_BRAND SPLITS'!C45,'5 Year Supply Plan'!AC:AC)</f>
        <v>3269</v>
      </c>
      <c r="AW45" s="35">
        <f t="shared" si="22"/>
        <v>0</v>
      </c>
      <c r="AX45" s="35">
        <f>SUMIF('5 Year Supply Plan'!A:A,'JZ_BRAND SPLITS'!C45,'5 Year Supply Plan'!AD:AD)</f>
        <v>2977</v>
      </c>
      <c r="AY45" s="35">
        <f t="shared" si="23"/>
        <v>0</v>
      </c>
      <c r="AZ45" s="35">
        <f>SUMIF('5 Year Supply Plan'!A:A,'JZ_BRAND SPLITS'!C45,'5 Year Supply Plan'!AE:AE)</f>
        <v>3333</v>
      </c>
      <c r="BA45" s="35">
        <f t="shared" si="24"/>
        <v>0</v>
      </c>
      <c r="BB45" s="35">
        <f>SUMIF('5 Year Supply Plan'!A:A,'JZ_BRAND SPLITS'!C45,'5 Year Supply Plan'!AF:AF)</f>
        <v>3399</v>
      </c>
      <c r="BC45" s="35">
        <f t="shared" si="25"/>
        <v>0</v>
      </c>
      <c r="BD45" s="35">
        <f>SUMIF('5 Year Supply Plan'!A:A,'JZ_BRAND SPLITS'!C45,'5 Year Supply Plan'!AG:AG)</f>
        <v>2539</v>
      </c>
      <c r="BE45" s="35">
        <f t="shared" si="26"/>
        <v>0</v>
      </c>
      <c r="BF45" s="35">
        <f>SUMIF('5 Year Supply Plan'!A:A,'JZ_BRAND SPLITS'!C45,'5 Year Supply Plan'!AH:AH)</f>
        <v>3086</v>
      </c>
      <c r="BG45" s="35">
        <f t="shared" si="27"/>
        <v>0</v>
      </c>
      <c r="BH45" s="35">
        <f>SUMIF('5 Year Supply Plan'!A:A,'JZ_BRAND SPLITS'!C45,'5 Year Supply Plan'!AI:AI)</f>
        <v>2808</v>
      </c>
      <c r="BI45" s="35">
        <f t="shared" si="28"/>
        <v>0</v>
      </c>
      <c r="BJ45" s="35">
        <f>SUMIF('5 Year Supply Plan'!A:A,'JZ_BRAND SPLITS'!C45,'5 Year Supply Plan'!AJ:AJ)</f>
        <v>3324</v>
      </c>
      <c r="BK45" s="35">
        <f t="shared" si="29"/>
        <v>0</v>
      </c>
      <c r="BL45" s="35">
        <f>SUMIF('5 Year Supply Plan'!A:A,'JZ_BRAND SPLITS'!C45,'5 Year Supply Plan'!AK:AK)</f>
        <v>4123</v>
      </c>
      <c r="BM45" s="35">
        <f t="shared" si="30"/>
        <v>0</v>
      </c>
      <c r="BN45" s="35">
        <f>SUMIF('5 Year Supply Plan'!A:A,'JZ_BRAND SPLITS'!C45,'5 Year Supply Plan'!AL:AL)</f>
        <v>3566</v>
      </c>
      <c r="BO45" s="35">
        <f t="shared" si="31"/>
        <v>0</v>
      </c>
      <c r="BP45" s="35">
        <f>SUMIF('5 Year Supply Plan'!A:A,'JZ_BRAND SPLITS'!C45,'5 Year Supply Plan'!AM:AM)</f>
        <v>3834</v>
      </c>
      <c r="BQ45" s="35">
        <f t="shared" si="32"/>
        <v>0</v>
      </c>
      <c r="BR45" s="35">
        <f>SUMIF('5 Year Supply Plan'!A:A,'JZ_BRAND SPLITS'!C45,'5 Year Supply Plan'!AN:AN)</f>
        <v>4236</v>
      </c>
      <c r="BS45" s="35">
        <f t="shared" si="33"/>
        <v>0</v>
      </c>
      <c r="BT45" s="35">
        <f>SUMIF('5 Year Supply Plan'!A:A,'JZ_BRAND SPLITS'!C45,'5 Year Supply Plan'!AO:AO)</f>
        <v>3515</v>
      </c>
      <c r="BU45" s="35">
        <f t="shared" si="34"/>
        <v>0</v>
      </c>
      <c r="BV45" s="35">
        <f>SUMIF('5 Year Supply Plan'!A:A,'JZ_BRAND SPLITS'!C45,'5 Year Supply Plan'!AP:AP)</f>
        <v>3200</v>
      </c>
      <c r="BW45" s="35">
        <f t="shared" si="35"/>
        <v>0</v>
      </c>
      <c r="BX45" s="35">
        <f>SUMIF('5 Year Supply Plan'!A:A,'JZ_BRAND SPLITS'!C45,'5 Year Supply Plan'!AQ:AQ)</f>
        <v>3583</v>
      </c>
      <c r="BY45" s="35">
        <f t="shared" si="36"/>
        <v>0</v>
      </c>
      <c r="BZ45" s="35">
        <f>SUMIF('5 Year Supply Plan'!A:A,'JZ_BRAND SPLITS'!C45,'5 Year Supply Plan'!AR:AR)</f>
        <v>3653</v>
      </c>
      <c r="CA45" s="35">
        <f t="shared" si="37"/>
        <v>0</v>
      </c>
      <c r="CB45" s="35">
        <f>SUMIF('5 Year Supply Plan'!A:A,'JZ_BRAND SPLITS'!C45,'5 Year Supply Plan'!AS:AS)</f>
        <v>2729</v>
      </c>
      <c r="CC45" s="35">
        <f t="shared" si="38"/>
        <v>0</v>
      </c>
      <c r="CD45" s="35">
        <f>SUMIF('5 Year Supply Plan'!A:A,'JZ_BRAND SPLITS'!C45,'5 Year Supply Plan'!AT:AT)</f>
        <v>3317</v>
      </c>
      <c r="CE45" s="35">
        <f t="shared" si="39"/>
        <v>0</v>
      </c>
      <c r="CF45" s="35">
        <f>SUMIF('5 Year Supply Plan'!A:A,'JZ_BRAND SPLITS'!C45,'5 Year Supply Plan'!AU:AU)</f>
        <v>3019</v>
      </c>
      <c r="CG45" s="35">
        <f t="shared" si="40"/>
        <v>0</v>
      </c>
      <c r="CH45" s="35">
        <f>SUMIF('5 Year Supply Plan'!A:A,'JZ_BRAND SPLITS'!C45,'5 Year Supply Plan'!AV:AV)</f>
        <v>3574</v>
      </c>
      <c r="CI45" s="35">
        <f t="shared" si="41"/>
        <v>0</v>
      </c>
      <c r="CJ45" s="35">
        <f>SUMIF('5 Year Supply Plan'!A:A,'JZ_BRAND SPLITS'!C45,'5 Year Supply Plan'!AW:AW)</f>
        <v>4431</v>
      </c>
      <c r="CK45" s="35">
        <f t="shared" si="42"/>
        <v>0</v>
      </c>
      <c r="CL45" s="35">
        <f>SUMIF('5 Year Supply Plan'!A:A,'JZ_BRAND SPLITS'!C45,'5 Year Supply Plan'!AX:AX)</f>
        <v>3834</v>
      </c>
      <c r="CM45" s="35">
        <f t="shared" si="43"/>
        <v>0</v>
      </c>
      <c r="CN45" s="35">
        <f>SUMIF('5 Year Supply Plan'!A:A,'JZ_BRAND SPLITS'!C45,'5 Year Supply Plan'!AY:AY)</f>
        <v>4123</v>
      </c>
      <c r="CO45" s="35">
        <f t="shared" si="44"/>
        <v>0</v>
      </c>
      <c r="CP45" s="35">
        <f>SUMIF('5 Year Supply Plan'!A:A,'JZ_BRAND SPLITS'!C45,'5 Year Supply Plan'!AZ:AZ)</f>
        <v>4557</v>
      </c>
      <c r="CQ45" s="35">
        <f t="shared" si="45"/>
        <v>0</v>
      </c>
      <c r="CR45" s="35">
        <f>SUMIF('5 Year Supply Plan'!A:A,'JZ_BRAND SPLITS'!C45,'5 Year Supply Plan'!BA:BA)</f>
        <v>3794</v>
      </c>
      <c r="CS45" s="35">
        <f t="shared" si="46"/>
        <v>0</v>
      </c>
      <c r="CT45" s="35">
        <f>SUMIF('5 Year Supply Plan'!A:A,'JZ_BRAND SPLITS'!C45,'5 Year Supply Plan'!BB:BB)</f>
        <v>3459</v>
      </c>
      <c r="CU45" s="35">
        <f t="shared" si="47"/>
        <v>0</v>
      </c>
      <c r="CV45" s="35">
        <f>SUMIF('5 Year Supply Plan'!A:A,'JZ_BRAND SPLITS'!C45,'5 Year Supply Plan'!BC:BC)</f>
        <v>3869</v>
      </c>
      <c r="CW45" s="35">
        <f t="shared" si="48"/>
        <v>0</v>
      </c>
      <c r="CX45" s="35">
        <f>SUMIF('5 Year Supply Plan'!A:A,'JZ_BRAND SPLITS'!C45,'5 Year Supply Plan'!BD:BD)</f>
        <v>3944</v>
      </c>
      <c r="CY45" s="35">
        <f t="shared" si="49"/>
        <v>0</v>
      </c>
      <c r="CZ45" s="35">
        <f>SUMIF('5 Year Supply Plan'!A:A,'JZ_BRAND SPLITS'!C45,'5 Year Supply Plan'!BE:BE)</f>
        <v>2949</v>
      </c>
      <c r="DA45" s="35">
        <f t="shared" si="50"/>
        <v>0</v>
      </c>
      <c r="DB45" s="35">
        <f>SUMIF('5 Year Supply Plan'!A:A,'JZ_BRAND SPLITS'!C45,'5 Year Supply Plan'!BF:BF)</f>
        <v>3584</v>
      </c>
      <c r="DC45" s="35">
        <f t="shared" si="51"/>
        <v>0</v>
      </c>
      <c r="DD45" s="35">
        <f>SUMIF('5 Year Supply Plan'!A:A,'JZ_BRAND SPLITS'!C45,'5 Year Supply Plan'!BG:BG)</f>
        <v>3259</v>
      </c>
      <c r="DE45" s="35">
        <f t="shared" si="52"/>
        <v>0</v>
      </c>
      <c r="DF45" s="35">
        <f>SUMIF('5 Year Supply Plan'!A:A,'JZ_BRAND SPLITS'!C45,'5 Year Supply Plan'!BH:BH)</f>
        <v>3859</v>
      </c>
      <c r="DG45" s="35">
        <f t="shared" si="53"/>
        <v>0</v>
      </c>
      <c r="DH45" s="35">
        <f>SUMIF('5 Year Supply Plan'!A:A,'JZ_BRAND SPLITS'!C45,'5 Year Supply Plan'!BI:BI)</f>
        <v>4787</v>
      </c>
      <c r="DI45" s="35">
        <f t="shared" si="54"/>
        <v>0</v>
      </c>
      <c r="DJ45" s="35">
        <f>SUMIF('5 Year Supply Plan'!A:A,'JZ_BRAND SPLITS'!C45,'5 Year Supply Plan'!BJ:BJ)</f>
        <v>5047</v>
      </c>
      <c r="DK45" s="35">
        <f t="shared" si="55"/>
        <v>0</v>
      </c>
      <c r="DL45" s="35">
        <f>SUMIF('5 Year Supply Plan'!A:A,'JZ_BRAND SPLITS'!C45,'5 Year Supply Plan'!BK:BK)</f>
        <v>8349</v>
      </c>
      <c r="DM45" s="35">
        <f t="shared" si="56"/>
        <v>0</v>
      </c>
      <c r="DN45" s="42">
        <f>SUMIF('5 Year Supply Plan'!A:A,'JZ_BRAND SPLITS'!C45,'5 Year Supply Plan'!BL:BL)</f>
        <v>12351</v>
      </c>
      <c r="DO45" s="35">
        <f t="shared" si="57"/>
        <v>0</v>
      </c>
      <c r="DP45" s="35">
        <f>SUMIF('5 Year Supply Plan'!A:A,'JZ_BRAND SPLITS'!C45,'5 Year Supply Plan'!BM:BM)</f>
        <v>4472.25</v>
      </c>
      <c r="DQ45" s="35">
        <f t="shared" si="58"/>
        <v>0</v>
      </c>
      <c r="DR45" s="35">
        <f>SUMIF('5 Year Supply Plan'!A:A,'JZ_BRAND SPLITS'!C45,'5 Year Supply Plan'!BN:BN)</f>
        <v>4472.25</v>
      </c>
      <c r="DS45" s="35">
        <f t="shared" si="59"/>
        <v>0</v>
      </c>
      <c r="DT45" s="39">
        <f t="shared" si="60"/>
        <v>0</v>
      </c>
      <c r="DU45" s="36">
        <f>SUMIF('5 Year Supply Plan'!A:A,'JZ_BRAND SPLITS'!C45,'5 Year Supply Plan'!BO:BO)</f>
        <v>268822.964844</v>
      </c>
    </row>
    <row r="46" spans="1:125" x14ac:dyDescent="0.25">
      <c r="A46" s="40" t="s">
        <v>269</v>
      </c>
      <c r="B46" s="40" t="s">
        <v>257</v>
      </c>
      <c r="C46" s="40" t="s">
        <v>102</v>
      </c>
      <c r="D46" s="40" t="str">
        <f t="shared" si="0"/>
        <v>C05SUPERTORQUE PLUS (MODIFIED)</v>
      </c>
      <c r="E46" s="41">
        <v>0.81335815685361912</v>
      </c>
      <c r="F46" s="35">
        <f>SUMIF('5 Year Supply Plan'!A:A,'JZ_BRAND SPLITS'!C46,'5 Year Supply Plan'!H:H)</f>
        <v>7883.3085940000001</v>
      </c>
      <c r="G46" s="35">
        <f t="shared" si="1"/>
        <v>6411.9533479241354</v>
      </c>
      <c r="H46" s="35">
        <f>SUMIF('5 Year Supply Plan'!A:A,'JZ_BRAND SPLITS'!C46,'5 Year Supply Plan'!I:I)</f>
        <v>8516.9609380000002</v>
      </c>
      <c r="I46" s="35">
        <f t="shared" si="2"/>
        <v>6927.3396505259516</v>
      </c>
      <c r="J46" s="35">
        <f>SUMIF('5 Year Supply Plan'!A:A,'JZ_BRAND SPLITS'!C46,'5 Year Supply Plan'!J:J)</f>
        <v>7195.0776370000003</v>
      </c>
      <c r="K46" s="35">
        <f t="shared" si="3"/>
        <v>5852.1750852490131</v>
      </c>
      <c r="L46" s="35">
        <f>SUMIF('5 Year Supply Plan'!A:A,'JZ_BRAND SPLITS'!C46,'5 Year Supply Plan'!K:K)</f>
        <v>4588</v>
      </c>
      <c r="M46" s="35">
        <f t="shared" si="4"/>
        <v>3731.6872236444046</v>
      </c>
      <c r="N46" s="35">
        <f>SUMIF('5 Year Supply Plan'!A:A,'JZ_BRAND SPLITS'!C46,'5 Year Supply Plan'!L:L)</f>
        <v>2121</v>
      </c>
      <c r="O46" s="35">
        <f t="shared" si="5"/>
        <v>1725.1326506865262</v>
      </c>
      <c r="P46" s="35">
        <f>SUMIF('5 Year Supply Plan'!A:A,'JZ_BRAND SPLITS'!C46,'5 Year Supply Plan'!M:M)</f>
        <v>4792</v>
      </c>
      <c r="Q46" s="35">
        <f t="shared" si="6"/>
        <v>3897.6122876425429</v>
      </c>
      <c r="R46" s="35">
        <f>SUMIF('5 Year Supply Plan'!A:A,'JZ_BRAND SPLITS'!C46,'5 Year Supply Plan'!N:N)</f>
        <v>4971</v>
      </c>
      <c r="S46" s="35">
        <f t="shared" si="7"/>
        <v>4043.2033977193405</v>
      </c>
      <c r="T46" s="35">
        <f>SUMIF('5 Year Supply Plan'!A:A,'JZ_BRAND SPLITS'!C46,'5 Year Supply Plan'!O:O)</f>
        <v>2867</v>
      </c>
      <c r="U46" s="35">
        <f t="shared" si="8"/>
        <v>2331.8978356993262</v>
      </c>
      <c r="V46" s="35">
        <f>SUMIF('5 Year Supply Plan'!A:A,'JZ_BRAND SPLITS'!C46,'5 Year Supply Plan'!P:P)</f>
        <v>999</v>
      </c>
      <c r="W46" s="35">
        <f t="shared" si="9"/>
        <v>812.5447986967655</v>
      </c>
      <c r="X46" s="35">
        <f>SUMIF('5 Year Supply Plan'!A:A,'JZ_BRAND SPLITS'!C46,'5 Year Supply Plan'!Q:Q)</f>
        <v>1102</v>
      </c>
      <c r="Y46" s="35">
        <f t="shared" si="10"/>
        <v>896.32068885268825</v>
      </c>
      <c r="Z46" s="35">
        <f>SUMIF('5 Year Supply Plan'!A:A,'JZ_BRAND SPLITS'!C46,'5 Year Supply Plan'!R:R)</f>
        <v>993</v>
      </c>
      <c r="AA46" s="35">
        <f t="shared" si="11"/>
        <v>807.66464975564384</v>
      </c>
      <c r="AB46" s="35">
        <f>SUMIF('5 Year Supply Plan'!A:A,'JZ_BRAND SPLITS'!C46,'5 Year Supply Plan'!S:S)</f>
        <v>1111</v>
      </c>
      <c r="AC46" s="35">
        <f t="shared" si="12"/>
        <v>903.64091226437085</v>
      </c>
      <c r="AD46" s="35">
        <f>SUMIF('5 Year Supply Plan'!A:A,'JZ_BRAND SPLITS'!C46,'5 Year Supply Plan'!T:T)</f>
        <v>994</v>
      </c>
      <c r="AE46" s="35">
        <f t="shared" si="13"/>
        <v>808.47800791249745</v>
      </c>
      <c r="AF46" s="35">
        <f>SUMIF('5 Year Supply Plan'!A:A,'JZ_BRAND SPLITS'!C46,'5 Year Supply Plan'!U:U)</f>
        <v>822</v>
      </c>
      <c r="AG46" s="35">
        <f t="shared" si="14"/>
        <v>668.58040493367491</v>
      </c>
      <c r="AH46" s="35">
        <f>SUMIF('5 Year Supply Plan'!A:A,'JZ_BRAND SPLITS'!C46,'5 Year Supply Plan'!V:V)</f>
        <v>1024</v>
      </c>
      <c r="AI46" s="35">
        <f t="shared" si="15"/>
        <v>832.87875261810598</v>
      </c>
      <c r="AJ46" s="35">
        <f>SUMIF('5 Year Supply Plan'!A:A,'JZ_BRAND SPLITS'!C46,'5 Year Supply Plan'!W:W)</f>
        <v>918</v>
      </c>
      <c r="AK46" s="35">
        <f t="shared" si="16"/>
        <v>746.66278799162239</v>
      </c>
      <c r="AL46" s="35">
        <f>SUMIF('5 Year Supply Plan'!A:A,'JZ_BRAND SPLITS'!C46,'5 Year Supply Plan'!X:X)</f>
        <v>951</v>
      </c>
      <c r="AM46" s="35">
        <f t="shared" si="17"/>
        <v>773.50360716779176</v>
      </c>
      <c r="AN46" s="35">
        <f>SUMIF('5 Year Supply Plan'!A:A,'JZ_BRAND SPLITS'!C46,'5 Year Supply Plan'!Y:Y)</f>
        <v>885</v>
      </c>
      <c r="AO46" s="35">
        <f t="shared" si="18"/>
        <v>719.82196881545292</v>
      </c>
      <c r="AP46" s="35">
        <f>SUMIF('5 Year Supply Plan'!A:A,'JZ_BRAND SPLITS'!C46,'5 Year Supply Plan'!Z:Z)</f>
        <v>805</v>
      </c>
      <c r="AQ46" s="35">
        <f t="shared" si="19"/>
        <v>654.75331626716343</v>
      </c>
      <c r="AR46" s="35">
        <f>SUMIF('5 Year Supply Plan'!A:A,'JZ_BRAND SPLITS'!C46,'5 Year Supply Plan'!AA:AA)</f>
        <v>858</v>
      </c>
      <c r="AS46" s="35">
        <f t="shared" si="20"/>
        <v>697.86129858040522</v>
      </c>
      <c r="AT46" s="35">
        <f>SUMIF('5 Year Supply Plan'!A:A,'JZ_BRAND SPLITS'!C46,'5 Year Supply Plan'!AB:AB)</f>
        <v>1028</v>
      </c>
      <c r="AU46" s="35">
        <f t="shared" si="21"/>
        <v>836.13218524552042</v>
      </c>
      <c r="AV46" s="35">
        <f>SUMIF('5 Year Supply Plan'!A:A,'JZ_BRAND SPLITS'!C46,'5 Year Supply Plan'!AC:AC)</f>
        <v>1181</v>
      </c>
      <c r="AW46" s="35">
        <f t="shared" si="22"/>
        <v>960.57598324412413</v>
      </c>
      <c r="AX46" s="35">
        <f>SUMIF('5 Year Supply Plan'!A:A,'JZ_BRAND SPLITS'!C46,'5 Year Supply Plan'!AD:AD)</f>
        <v>1063</v>
      </c>
      <c r="AY46" s="35">
        <f t="shared" si="23"/>
        <v>864.59972073539711</v>
      </c>
      <c r="AZ46" s="35">
        <f>SUMIF('5 Year Supply Plan'!A:A,'JZ_BRAND SPLITS'!C46,'5 Year Supply Plan'!AE:AE)</f>
        <v>1191</v>
      </c>
      <c r="BA46" s="35">
        <f t="shared" si="24"/>
        <v>968.70956481266035</v>
      </c>
      <c r="BB46" s="35">
        <f>SUMIF('5 Year Supply Plan'!A:A,'JZ_BRAND SPLITS'!C46,'5 Year Supply Plan'!AF:AF)</f>
        <v>1063</v>
      </c>
      <c r="BC46" s="35">
        <f t="shared" si="25"/>
        <v>864.59972073539711</v>
      </c>
      <c r="BD46" s="35">
        <f>SUMIF('5 Year Supply Plan'!A:A,'JZ_BRAND SPLITS'!C46,'5 Year Supply Plan'!AG:AG)</f>
        <v>880</v>
      </c>
      <c r="BE46" s="35">
        <f t="shared" si="26"/>
        <v>715.75517803118487</v>
      </c>
      <c r="BF46" s="35">
        <f>SUMIF('5 Year Supply Plan'!A:A,'JZ_BRAND SPLITS'!C46,'5 Year Supply Plan'!AH:AH)</f>
        <v>1097</v>
      </c>
      <c r="BG46" s="35">
        <f t="shared" si="27"/>
        <v>892.2538980684202</v>
      </c>
      <c r="BH46" s="35">
        <f>SUMIF('5 Year Supply Plan'!A:A,'JZ_BRAND SPLITS'!C46,'5 Year Supply Plan'!AI:AI)</f>
        <v>983</v>
      </c>
      <c r="BI46" s="35">
        <f t="shared" si="28"/>
        <v>799.53106818710762</v>
      </c>
      <c r="BJ46" s="35">
        <f>SUMIF('5 Year Supply Plan'!A:A,'JZ_BRAND SPLITS'!C46,'5 Year Supply Plan'!AJ:AJ)</f>
        <v>1018</v>
      </c>
      <c r="BK46" s="35">
        <f t="shared" si="29"/>
        <v>827.99860367698432</v>
      </c>
      <c r="BL46" s="35">
        <f>SUMIF('5 Year Supply Plan'!A:A,'JZ_BRAND SPLITS'!C46,'5 Year Supply Plan'!AK:AK)</f>
        <v>948</v>
      </c>
      <c r="BM46" s="35">
        <f t="shared" si="30"/>
        <v>771.06353269723093</v>
      </c>
      <c r="BN46" s="35">
        <f>SUMIF('5 Year Supply Plan'!A:A,'JZ_BRAND SPLITS'!C46,'5 Year Supply Plan'!AL:AL)</f>
        <v>862</v>
      </c>
      <c r="BO46" s="35">
        <f t="shared" si="31"/>
        <v>701.11473120781966</v>
      </c>
      <c r="BP46" s="35">
        <f>SUMIF('5 Year Supply Plan'!A:A,'JZ_BRAND SPLITS'!C46,'5 Year Supply Plan'!AM:AM)</f>
        <v>918</v>
      </c>
      <c r="BQ46" s="35">
        <f t="shared" si="32"/>
        <v>746.66278799162239</v>
      </c>
      <c r="BR46" s="35">
        <f>SUMIF('5 Year Supply Plan'!A:A,'JZ_BRAND SPLITS'!C46,'5 Year Supply Plan'!AN:AN)</f>
        <v>1099</v>
      </c>
      <c r="BS46" s="35">
        <f t="shared" si="33"/>
        <v>893.88061438212742</v>
      </c>
      <c r="BT46" s="35">
        <f>SUMIF('5 Year Supply Plan'!A:A,'JZ_BRAND SPLITS'!C46,'5 Year Supply Plan'!AO:AO)</f>
        <v>1261</v>
      </c>
      <c r="BU46" s="35">
        <f t="shared" si="34"/>
        <v>1025.6446357924137</v>
      </c>
      <c r="BV46" s="35">
        <f>SUMIF('5 Year Supply Plan'!A:A,'JZ_BRAND SPLITS'!C46,'5 Year Supply Plan'!AP:AP)</f>
        <v>1135</v>
      </c>
      <c r="BW46" s="35">
        <f t="shared" si="35"/>
        <v>923.16150802885772</v>
      </c>
      <c r="BX46" s="35">
        <f>SUMIF('5 Year Supply Plan'!A:A,'JZ_BRAND SPLITS'!C46,'5 Year Supply Plan'!AQ:AQ)</f>
        <v>1269</v>
      </c>
      <c r="BY46" s="35">
        <f t="shared" si="36"/>
        <v>1032.1515010472426</v>
      </c>
      <c r="BZ46" s="35">
        <f>SUMIF('5 Year Supply Plan'!A:A,'JZ_BRAND SPLITS'!C46,'5 Year Supply Plan'!AR:AR)</f>
        <v>1135</v>
      </c>
      <c r="CA46" s="35">
        <f t="shared" si="37"/>
        <v>923.16150802885772</v>
      </c>
      <c r="CB46" s="35">
        <f>SUMIF('5 Year Supply Plan'!A:A,'JZ_BRAND SPLITS'!C46,'5 Year Supply Plan'!AS:AS)</f>
        <v>940</v>
      </c>
      <c r="CC46" s="35">
        <f t="shared" si="38"/>
        <v>764.55666744240193</v>
      </c>
      <c r="CD46" s="35">
        <f>SUMIF('5 Year Supply Plan'!A:A,'JZ_BRAND SPLITS'!C46,'5 Year Supply Plan'!AT:AT)</f>
        <v>1170</v>
      </c>
      <c r="CE46" s="35">
        <f t="shared" si="39"/>
        <v>951.62904351873442</v>
      </c>
      <c r="CF46" s="35">
        <f>SUMIF('5 Year Supply Plan'!A:A,'JZ_BRAND SPLITS'!C46,'5 Year Supply Plan'!AU:AU)</f>
        <v>1049</v>
      </c>
      <c r="CG46" s="35">
        <f t="shared" si="40"/>
        <v>853.21270653944646</v>
      </c>
      <c r="CH46" s="35">
        <f>SUMIF('5 Year Supply Plan'!A:A,'JZ_BRAND SPLITS'!C46,'5 Year Supply Plan'!AV:AV)</f>
        <v>1086</v>
      </c>
      <c r="CI46" s="35">
        <f t="shared" si="41"/>
        <v>883.30695834303037</v>
      </c>
      <c r="CJ46" s="35">
        <f>SUMIF('5 Year Supply Plan'!A:A,'JZ_BRAND SPLITS'!C46,'5 Year Supply Plan'!AW:AW)</f>
        <v>1012</v>
      </c>
      <c r="CK46" s="35">
        <f t="shared" si="42"/>
        <v>823.11845473586254</v>
      </c>
      <c r="CL46" s="35">
        <f>SUMIF('5 Year Supply Plan'!A:A,'JZ_BRAND SPLITS'!C46,'5 Year Supply Plan'!AX:AX)</f>
        <v>919</v>
      </c>
      <c r="CM46" s="35">
        <f t="shared" si="43"/>
        <v>747.476146148476</v>
      </c>
      <c r="CN46" s="35">
        <f>SUMIF('5 Year Supply Plan'!A:A,'JZ_BRAND SPLITS'!C46,'5 Year Supply Plan'!AY:AY)</f>
        <v>980</v>
      </c>
      <c r="CO46" s="35">
        <f t="shared" si="44"/>
        <v>797.09099371654679</v>
      </c>
      <c r="CP46" s="35">
        <f>SUMIF('5 Year Supply Plan'!A:A,'JZ_BRAND SPLITS'!C46,'5 Year Supply Plan'!AZ:AZ)</f>
        <v>1176</v>
      </c>
      <c r="CQ46" s="35">
        <f t="shared" si="45"/>
        <v>956.50919245985608</v>
      </c>
      <c r="CR46" s="35">
        <f>SUMIF('5 Year Supply Plan'!A:A,'JZ_BRAND SPLITS'!C46,'5 Year Supply Plan'!BA:BA)</f>
        <v>1351</v>
      </c>
      <c r="CS46" s="35">
        <f t="shared" si="46"/>
        <v>1098.8468699092393</v>
      </c>
      <c r="CT46" s="35">
        <f>SUMIF('5 Year Supply Plan'!A:A,'JZ_BRAND SPLITS'!C46,'5 Year Supply Plan'!BB:BB)</f>
        <v>1217</v>
      </c>
      <c r="CU46" s="35">
        <f t="shared" si="47"/>
        <v>989.85687689085444</v>
      </c>
      <c r="CV46" s="35">
        <f>SUMIF('5 Year Supply Plan'!A:A,'JZ_BRAND SPLITS'!C46,'5 Year Supply Plan'!BC:BC)</f>
        <v>1361</v>
      </c>
      <c r="CW46" s="35">
        <f t="shared" si="48"/>
        <v>1106.9804514777757</v>
      </c>
      <c r="CX46" s="35">
        <f>SUMIF('5 Year Supply Plan'!A:A,'JZ_BRAND SPLITS'!C46,'5 Year Supply Plan'!BD:BD)</f>
        <v>1217</v>
      </c>
      <c r="CY46" s="35">
        <f t="shared" si="49"/>
        <v>989.85687689085444</v>
      </c>
      <c r="CZ46" s="35">
        <f>SUMIF('5 Year Supply Plan'!A:A,'JZ_BRAND SPLITS'!C46,'5 Year Supply Plan'!BE:BE)</f>
        <v>1007</v>
      </c>
      <c r="DA46" s="35">
        <f t="shared" si="50"/>
        <v>819.05166395159449</v>
      </c>
      <c r="DB46" s="35">
        <f>SUMIF('5 Year Supply Plan'!A:A,'JZ_BRAND SPLITS'!C46,'5 Year Supply Plan'!BF:BF)</f>
        <v>1254</v>
      </c>
      <c r="DC46" s="35">
        <f t="shared" si="51"/>
        <v>1019.9511286944384</v>
      </c>
      <c r="DD46" s="35">
        <f>SUMIF('5 Year Supply Plan'!A:A,'JZ_BRAND SPLITS'!C46,'5 Year Supply Plan'!BG:BG)</f>
        <v>1125</v>
      </c>
      <c r="DE46" s="35">
        <f t="shared" si="52"/>
        <v>915.02792646032151</v>
      </c>
      <c r="DF46" s="35">
        <f>SUMIF('5 Year Supply Plan'!A:A,'JZ_BRAND SPLITS'!C46,'5 Year Supply Plan'!BH:BH)</f>
        <v>1165</v>
      </c>
      <c r="DG46" s="35">
        <f t="shared" si="53"/>
        <v>947.56225273446626</v>
      </c>
      <c r="DH46" s="35">
        <f>SUMIF('5 Year Supply Plan'!A:A,'JZ_BRAND SPLITS'!C46,'5 Year Supply Plan'!BI:BI)</f>
        <v>1025</v>
      </c>
      <c r="DI46" s="35">
        <f t="shared" si="54"/>
        <v>833.69211077495959</v>
      </c>
      <c r="DJ46" s="35">
        <f>SUMIF('5 Year Supply Plan'!A:A,'JZ_BRAND SPLITS'!C46,'5 Year Supply Plan'!BJ:BJ)</f>
        <v>1784</v>
      </c>
      <c r="DK46" s="35">
        <f t="shared" si="55"/>
        <v>1451.0309518268566</v>
      </c>
      <c r="DL46" s="35">
        <f>SUMIF('5 Year Supply Plan'!A:A,'JZ_BRAND SPLITS'!C46,'5 Year Supply Plan'!BK:BK)</f>
        <v>4220</v>
      </c>
      <c r="DM46" s="35">
        <f t="shared" si="56"/>
        <v>3432.3714219222725</v>
      </c>
      <c r="DN46" s="42">
        <f>SUMIF('5 Year Supply Plan'!A:A,'JZ_BRAND SPLITS'!C46,'5 Year Supply Plan'!BL:BL)</f>
        <v>6862</v>
      </c>
      <c r="DO46" s="35">
        <f t="shared" si="57"/>
        <v>5581.2636723295345</v>
      </c>
      <c r="DP46" s="35">
        <f>SUMIF('5 Year Supply Plan'!A:A,'JZ_BRAND SPLITS'!C46,'5 Year Supply Plan'!BM:BM)</f>
        <v>1599.625</v>
      </c>
      <c r="DQ46" s="35">
        <f t="shared" si="58"/>
        <v>1301.0680416569705</v>
      </c>
      <c r="DR46" s="35">
        <f>SUMIF('5 Year Supply Plan'!A:A,'JZ_BRAND SPLITS'!C46,'5 Year Supply Plan'!BN:BN)</f>
        <v>1599.625</v>
      </c>
      <c r="DS46" s="35">
        <f t="shared" si="59"/>
        <v>1301.0680416569705</v>
      </c>
      <c r="DT46" s="39">
        <f t="shared" si="60"/>
        <v>87555.237864941824</v>
      </c>
      <c r="DU46" s="36">
        <f>SUMIF('5 Year Supply Plan'!A:A,'JZ_BRAND SPLITS'!C46,'5 Year Supply Plan'!BO:BO)</f>
        <v>107646.597169</v>
      </c>
    </row>
    <row r="47" spans="1:125" x14ac:dyDescent="0.25">
      <c r="A47" s="40" t="s">
        <v>269</v>
      </c>
      <c r="B47" s="40" t="s">
        <v>257</v>
      </c>
      <c r="C47" s="40" t="s">
        <v>104</v>
      </c>
      <c r="D47" s="40" t="str">
        <f t="shared" si="0"/>
        <v>C05TEMPO (MODIFIED)</v>
      </c>
      <c r="E47" s="41">
        <v>1</v>
      </c>
      <c r="F47" s="35">
        <f>SUMIF('5 Year Supply Plan'!A:A,'JZ_BRAND SPLITS'!C47,'5 Year Supply Plan'!H:H)</f>
        <v>21541.398438</v>
      </c>
      <c r="G47" s="35">
        <f t="shared" si="1"/>
        <v>21541.398438</v>
      </c>
      <c r="H47" s="35">
        <f>SUMIF('5 Year Supply Plan'!A:A,'JZ_BRAND SPLITS'!C47,'5 Year Supply Plan'!I:I)</f>
        <v>25542.451172000001</v>
      </c>
      <c r="I47" s="35">
        <f t="shared" si="2"/>
        <v>25542.451172000001</v>
      </c>
      <c r="J47" s="35">
        <f>SUMIF('5 Year Supply Plan'!A:A,'JZ_BRAND SPLITS'!C47,'5 Year Supply Plan'!J:J)</f>
        <v>21324.150390999999</v>
      </c>
      <c r="K47" s="35">
        <f t="shared" si="3"/>
        <v>21324.150390999999</v>
      </c>
      <c r="L47" s="35">
        <f>SUMIF('5 Year Supply Plan'!A:A,'JZ_BRAND SPLITS'!C47,'5 Year Supply Plan'!K:K)</f>
        <v>24848</v>
      </c>
      <c r="M47" s="35">
        <f t="shared" si="4"/>
        <v>24848</v>
      </c>
      <c r="N47" s="35">
        <f>SUMIF('5 Year Supply Plan'!A:A,'JZ_BRAND SPLITS'!C47,'5 Year Supply Plan'!L:L)</f>
        <v>18726</v>
      </c>
      <c r="O47" s="35">
        <f t="shared" si="5"/>
        <v>18726</v>
      </c>
      <c r="P47" s="35">
        <f>SUMIF('5 Year Supply Plan'!A:A,'JZ_BRAND SPLITS'!C47,'5 Year Supply Plan'!M:M)</f>
        <v>18505</v>
      </c>
      <c r="Q47" s="35">
        <f t="shared" si="6"/>
        <v>18505</v>
      </c>
      <c r="R47" s="35">
        <f>SUMIF('5 Year Supply Plan'!A:A,'JZ_BRAND SPLITS'!C47,'5 Year Supply Plan'!N:N)</f>
        <v>14542</v>
      </c>
      <c r="S47" s="35">
        <f t="shared" si="7"/>
        <v>14542</v>
      </c>
      <c r="T47" s="35">
        <f>SUMIF('5 Year Supply Plan'!A:A,'JZ_BRAND SPLITS'!C47,'5 Year Supply Plan'!O:O)</f>
        <v>6980</v>
      </c>
      <c r="U47" s="35">
        <f t="shared" si="8"/>
        <v>6980</v>
      </c>
      <c r="V47" s="35">
        <f>SUMIF('5 Year Supply Plan'!A:A,'JZ_BRAND SPLITS'!C47,'5 Year Supply Plan'!P:P)</f>
        <v>2185</v>
      </c>
      <c r="W47" s="35">
        <f t="shared" si="9"/>
        <v>2185</v>
      </c>
      <c r="X47" s="35">
        <f>SUMIF('5 Year Supply Plan'!A:A,'JZ_BRAND SPLITS'!C47,'5 Year Supply Plan'!Q:Q)</f>
        <v>1820</v>
      </c>
      <c r="Y47" s="35">
        <f t="shared" si="10"/>
        <v>1820</v>
      </c>
      <c r="Z47" s="35">
        <f>SUMIF('5 Year Supply Plan'!A:A,'JZ_BRAND SPLITS'!C47,'5 Year Supply Plan'!R:R)</f>
        <v>1579</v>
      </c>
      <c r="AA47" s="35">
        <f t="shared" si="11"/>
        <v>1579</v>
      </c>
      <c r="AB47" s="35">
        <f>SUMIF('5 Year Supply Plan'!A:A,'JZ_BRAND SPLITS'!C47,'5 Year Supply Plan'!S:S)</f>
        <v>2025</v>
      </c>
      <c r="AC47" s="35">
        <f t="shared" si="12"/>
        <v>2025</v>
      </c>
      <c r="AD47" s="35">
        <f>SUMIF('5 Year Supply Plan'!A:A,'JZ_BRAND SPLITS'!C47,'5 Year Supply Plan'!T:T)</f>
        <v>1971</v>
      </c>
      <c r="AE47" s="35">
        <f t="shared" si="13"/>
        <v>1971</v>
      </c>
      <c r="AF47" s="35">
        <f>SUMIF('5 Year Supply Plan'!A:A,'JZ_BRAND SPLITS'!C47,'5 Year Supply Plan'!U:U)</f>
        <v>1791</v>
      </c>
      <c r="AG47" s="35">
        <f t="shared" si="14"/>
        <v>1791</v>
      </c>
      <c r="AH47" s="35">
        <f>SUMIF('5 Year Supply Plan'!A:A,'JZ_BRAND SPLITS'!C47,'5 Year Supply Plan'!V:V)</f>
        <v>1811</v>
      </c>
      <c r="AI47" s="35">
        <f t="shared" si="15"/>
        <v>1811</v>
      </c>
      <c r="AJ47" s="35">
        <f>SUMIF('5 Year Supply Plan'!A:A,'JZ_BRAND SPLITS'!C47,'5 Year Supply Plan'!W:W)</f>
        <v>1823</v>
      </c>
      <c r="AK47" s="35">
        <f t="shared" si="16"/>
        <v>1823</v>
      </c>
      <c r="AL47" s="35">
        <f>SUMIF('5 Year Supply Plan'!A:A,'JZ_BRAND SPLITS'!C47,'5 Year Supply Plan'!X:X)</f>
        <v>2015</v>
      </c>
      <c r="AM47" s="35">
        <f t="shared" si="17"/>
        <v>2015</v>
      </c>
      <c r="AN47" s="35">
        <f>SUMIF('5 Year Supply Plan'!A:A,'JZ_BRAND SPLITS'!C47,'5 Year Supply Plan'!Y:Y)</f>
        <v>1857</v>
      </c>
      <c r="AO47" s="35">
        <f t="shared" si="18"/>
        <v>1857</v>
      </c>
      <c r="AP47" s="35">
        <f>SUMIF('5 Year Supply Plan'!A:A,'JZ_BRAND SPLITS'!C47,'5 Year Supply Plan'!Z:Z)</f>
        <v>1625</v>
      </c>
      <c r="AQ47" s="35">
        <f t="shared" si="19"/>
        <v>1625</v>
      </c>
      <c r="AR47" s="35">
        <f>SUMIF('5 Year Supply Plan'!A:A,'JZ_BRAND SPLITS'!C47,'5 Year Supply Plan'!AA:AA)</f>
        <v>1753</v>
      </c>
      <c r="AS47" s="35">
        <f t="shared" si="20"/>
        <v>1753</v>
      </c>
      <c r="AT47" s="35">
        <f>SUMIF('5 Year Supply Plan'!A:A,'JZ_BRAND SPLITS'!C47,'5 Year Supply Plan'!AB:AB)</f>
        <v>2017</v>
      </c>
      <c r="AU47" s="35">
        <f t="shared" si="21"/>
        <v>2017</v>
      </c>
      <c r="AV47" s="35">
        <f>SUMIF('5 Year Supply Plan'!A:A,'JZ_BRAND SPLITS'!C47,'5 Year Supply Plan'!AC:AC)</f>
        <v>1994</v>
      </c>
      <c r="AW47" s="35">
        <f t="shared" si="22"/>
        <v>1994</v>
      </c>
      <c r="AX47" s="35">
        <f>SUMIF('5 Year Supply Plan'!A:A,'JZ_BRAND SPLITS'!C47,'5 Year Supply Plan'!AD:AD)</f>
        <v>1731</v>
      </c>
      <c r="AY47" s="35">
        <f t="shared" si="23"/>
        <v>1731</v>
      </c>
      <c r="AZ47" s="35">
        <f>SUMIF('5 Year Supply Plan'!A:A,'JZ_BRAND SPLITS'!C47,'5 Year Supply Plan'!AE:AE)</f>
        <v>2220</v>
      </c>
      <c r="BA47" s="35">
        <f t="shared" si="24"/>
        <v>2220</v>
      </c>
      <c r="BB47" s="35">
        <f>SUMIF('5 Year Supply Plan'!A:A,'JZ_BRAND SPLITS'!C47,'5 Year Supply Plan'!AF:AF)</f>
        <v>2160</v>
      </c>
      <c r="BC47" s="35">
        <f t="shared" si="25"/>
        <v>2160</v>
      </c>
      <c r="BD47" s="35">
        <f>SUMIF('5 Year Supply Plan'!A:A,'JZ_BRAND SPLITS'!C47,'5 Year Supply Plan'!AG:AG)</f>
        <v>1964</v>
      </c>
      <c r="BE47" s="35">
        <f t="shared" si="26"/>
        <v>1964</v>
      </c>
      <c r="BF47" s="35">
        <f>SUMIF('5 Year Supply Plan'!A:A,'JZ_BRAND SPLITS'!C47,'5 Year Supply Plan'!AH:AH)</f>
        <v>1984</v>
      </c>
      <c r="BG47" s="35">
        <f t="shared" si="27"/>
        <v>1984</v>
      </c>
      <c r="BH47" s="35">
        <f>SUMIF('5 Year Supply Plan'!A:A,'JZ_BRAND SPLITS'!C47,'5 Year Supply Plan'!AI:AI)</f>
        <v>2000</v>
      </c>
      <c r="BI47" s="35">
        <f t="shared" si="28"/>
        <v>2000</v>
      </c>
      <c r="BJ47" s="35">
        <f>SUMIF('5 Year Supply Plan'!A:A,'JZ_BRAND SPLITS'!C47,'5 Year Supply Plan'!AJ:AJ)</f>
        <v>2208</v>
      </c>
      <c r="BK47" s="35">
        <f t="shared" si="29"/>
        <v>2208</v>
      </c>
      <c r="BL47" s="35">
        <f>SUMIF('5 Year Supply Plan'!A:A,'JZ_BRAND SPLITS'!C47,'5 Year Supply Plan'!AK:AK)</f>
        <v>2037</v>
      </c>
      <c r="BM47" s="35">
        <f t="shared" si="30"/>
        <v>2037</v>
      </c>
      <c r="BN47" s="35">
        <f>SUMIF('5 Year Supply Plan'!A:A,'JZ_BRAND SPLITS'!C47,'5 Year Supply Plan'!AL:AL)</f>
        <v>1780</v>
      </c>
      <c r="BO47" s="35">
        <f t="shared" si="31"/>
        <v>1780</v>
      </c>
      <c r="BP47" s="35">
        <f>SUMIF('5 Year Supply Plan'!A:A,'JZ_BRAND SPLITS'!C47,'5 Year Supply Plan'!AM:AM)</f>
        <v>1922</v>
      </c>
      <c r="BQ47" s="35">
        <f t="shared" si="32"/>
        <v>1922</v>
      </c>
      <c r="BR47" s="35">
        <f>SUMIF('5 Year Supply Plan'!A:A,'JZ_BRAND SPLITS'!C47,'5 Year Supply Plan'!AN:AN)</f>
        <v>2196</v>
      </c>
      <c r="BS47" s="35">
        <f t="shared" si="33"/>
        <v>2196</v>
      </c>
      <c r="BT47" s="35">
        <f>SUMIF('5 Year Supply Plan'!A:A,'JZ_BRAND SPLITS'!C47,'5 Year Supply Plan'!AO:AO)</f>
        <v>2127</v>
      </c>
      <c r="BU47" s="35">
        <f t="shared" si="34"/>
        <v>2127</v>
      </c>
      <c r="BV47" s="35">
        <f>SUMIF('5 Year Supply Plan'!A:A,'JZ_BRAND SPLITS'!C47,'5 Year Supply Plan'!AP:AP)</f>
        <v>1848</v>
      </c>
      <c r="BW47" s="35">
        <f t="shared" si="35"/>
        <v>1848</v>
      </c>
      <c r="BX47" s="35">
        <f>SUMIF('5 Year Supply Plan'!A:A,'JZ_BRAND SPLITS'!C47,'5 Year Supply Plan'!AQ:AQ)</f>
        <v>2369</v>
      </c>
      <c r="BY47" s="35">
        <f t="shared" si="36"/>
        <v>2369</v>
      </c>
      <c r="BZ47" s="35">
        <f>SUMIF('5 Year Supply Plan'!A:A,'JZ_BRAND SPLITS'!C47,'5 Year Supply Plan'!AR:AR)</f>
        <v>2305</v>
      </c>
      <c r="CA47" s="35">
        <f t="shared" si="37"/>
        <v>2305</v>
      </c>
      <c r="CB47" s="35">
        <f>SUMIF('5 Year Supply Plan'!A:A,'JZ_BRAND SPLITS'!C47,'5 Year Supply Plan'!AS:AS)</f>
        <v>2096</v>
      </c>
      <c r="CC47" s="35">
        <f t="shared" si="38"/>
        <v>2096</v>
      </c>
      <c r="CD47" s="35">
        <f>SUMIF('5 Year Supply Plan'!A:A,'JZ_BRAND SPLITS'!C47,'5 Year Supply Plan'!AT:AT)</f>
        <v>2118</v>
      </c>
      <c r="CE47" s="35">
        <f t="shared" si="39"/>
        <v>2118</v>
      </c>
      <c r="CF47" s="35">
        <f>SUMIF('5 Year Supply Plan'!A:A,'JZ_BRAND SPLITS'!C47,'5 Year Supply Plan'!AU:AU)</f>
        <v>2133</v>
      </c>
      <c r="CG47" s="35">
        <f t="shared" si="40"/>
        <v>2133</v>
      </c>
      <c r="CH47" s="35">
        <f>SUMIF('5 Year Supply Plan'!A:A,'JZ_BRAND SPLITS'!C47,'5 Year Supply Plan'!AV:AV)</f>
        <v>2357</v>
      </c>
      <c r="CI47" s="35">
        <f t="shared" si="41"/>
        <v>2357</v>
      </c>
      <c r="CJ47" s="35">
        <f>SUMIF('5 Year Supply Plan'!A:A,'JZ_BRAND SPLITS'!C47,'5 Year Supply Plan'!AW:AW)</f>
        <v>2172</v>
      </c>
      <c r="CK47" s="35">
        <f t="shared" si="42"/>
        <v>2172</v>
      </c>
      <c r="CL47" s="35">
        <f>SUMIF('5 Year Supply Plan'!A:A,'JZ_BRAND SPLITS'!C47,'5 Year Supply Plan'!AX:AX)</f>
        <v>1902</v>
      </c>
      <c r="CM47" s="35">
        <f t="shared" si="43"/>
        <v>1902</v>
      </c>
      <c r="CN47" s="35">
        <f>SUMIF('5 Year Supply Plan'!A:A,'JZ_BRAND SPLITS'!C47,'5 Year Supply Plan'!AY:AY)</f>
        <v>2060</v>
      </c>
      <c r="CO47" s="35">
        <f t="shared" si="44"/>
        <v>2060</v>
      </c>
      <c r="CP47" s="35">
        <f>SUMIF('5 Year Supply Plan'!A:A,'JZ_BRAND SPLITS'!C47,'5 Year Supply Plan'!AZ:AZ)</f>
        <v>2378</v>
      </c>
      <c r="CQ47" s="35">
        <f t="shared" si="45"/>
        <v>2378</v>
      </c>
      <c r="CR47" s="35">
        <f>SUMIF('5 Year Supply Plan'!A:A,'JZ_BRAND SPLITS'!C47,'5 Year Supply Plan'!BA:BA)</f>
        <v>2276</v>
      </c>
      <c r="CS47" s="35">
        <f t="shared" si="46"/>
        <v>2276</v>
      </c>
      <c r="CT47" s="35">
        <f>SUMIF('5 Year Supply Plan'!A:A,'JZ_BRAND SPLITS'!C47,'5 Year Supply Plan'!BB:BB)</f>
        <v>1975</v>
      </c>
      <c r="CU47" s="35">
        <f t="shared" si="47"/>
        <v>1975</v>
      </c>
      <c r="CV47" s="35">
        <f>SUMIF('5 Year Supply Plan'!A:A,'JZ_BRAND SPLITS'!C47,'5 Year Supply Plan'!BC:BC)</f>
        <v>2535</v>
      </c>
      <c r="CW47" s="35">
        <f t="shared" si="48"/>
        <v>2535</v>
      </c>
      <c r="CX47" s="35">
        <f>SUMIF('5 Year Supply Plan'!A:A,'JZ_BRAND SPLITS'!C47,'5 Year Supply Plan'!BD:BD)</f>
        <v>2465</v>
      </c>
      <c r="CY47" s="35">
        <f t="shared" si="49"/>
        <v>2465</v>
      </c>
      <c r="CZ47" s="35">
        <f>SUMIF('5 Year Supply Plan'!A:A,'JZ_BRAND SPLITS'!C47,'5 Year Supply Plan'!BE:BE)</f>
        <v>2241</v>
      </c>
      <c r="DA47" s="35">
        <f t="shared" si="50"/>
        <v>2241</v>
      </c>
      <c r="DB47" s="35">
        <f>SUMIF('5 Year Supply Plan'!A:A,'JZ_BRAND SPLITS'!C47,'5 Year Supply Plan'!BF:BF)</f>
        <v>2265</v>
      </c>
      <c r="DC47" s="35">
        <f t="shared" si="51"/>
        <v>2265</v>
      </c>
      <c r="DD47" s="35">
        <f>SUMIF('5 Year Supply Plan'!A:A,'JZ_BRAND SPLITS'!C47,'5 Year Supply Plan'!BG:BG)</f>
        <v>2281</v>
      </c>
      <c r="DE47" s="35">
        <f t="shared" si="52"/>
        <v>2281</v>
      </c>
      <c r="DF47" s="35">
        <f>SUMIF('5 Year Supply Plan'!A:A,'JZ_BRAND SPLITS'!C47,'5 Year Supply Plan'!BH:BH)</f>
        <v>2521</v>
      </c>
      <c r="DG47" s="35">
        <f t="shared" si="53"/>
        <v>2521</v>
      </c>
      <c r="DH47" s="35">
        <f>SUMIF('5 Year Supply Plan'!A:A,'JZ_BRAND SPLITS'!C47,'5 Year Supply Plan'!BI:BI)</f>
        <v>2324</v>
      </c>
      <c r="DI47" s="35">
        <f t="shared" si="54"/>
        <v>2324</v>
      </c>
      <c r="DJ47" s="35">
        <f>SUMIF('5 Year Supply Plan'!A:A,'JZ_BRAND SPLITS'!C47,'5 Year Supply Plan'!BJ:BJ)</f>
        <v>4487</v>
      </c>
      <c r="DK47" s="35">
        <f t="shared" si="55"/>
        <v>4487</v>
      </c>
      <c r="DL47" s="35">
        <f>SUMIF('5 Year Supply Plan'!A:A,'JZ_BRAND SPLITS'!C47,'5 Year Supply Plan'!BK:BK)</f>
        <v>10956</v>
      </c>
      <c r="DM47" s="35">
        <f t="shared" si="56"/>
        <v>10956</v>
      </c>
      <c r="DN47" s="42">
        <f>SUMIF('5 Year Supply Plan'!A:A,'JZ_BRAND SPLITS'!C47,'5 Year Supply Plan'!BL:BL)</f>
        <v>16435</v>
      </c>
      <c r="DO47" s="35">
        <f t="shared" si="57"/>
        <v>16435</v>
      </c>
      <c r="DP47" s="35">
        <f>SUMIF('5 Year Supply Plan'!A:A,'JZ_BRAND SPLITS'!C47,'5 Year Supply Plan'!BM:BM)</f>
        <v>3692.5</v>
      </c>
      <c r="DQ47" s="35">
        <f t="shared" si="58"/>
        <v>3692.5</v>
      </c>
      <c r="DR47" s="35">
        <f>SUMIF('5 Year Supply Plan'!A:A,'JZ_BRAND SPLITS'!C47,'5 Year Supply Plan'!BN:BN)</f>
        <v>3692.5</v>
      </c>
      <c r="DS47" s="35">
        <f t="shared" si="59"/>
        <v>3692.5</v>
      </c>
      <c r="DT47" s="39">
        <f t="shared" si="60"/>
        <v>286488.00000100001</v>
      </c>
      <c r="DU47" s="36">
        <f>SUMIF('5 Year Supply Plan'!A:A,'JZ_BRAND SPLITS'!C47,'5 Year Supply Plan'!BO:BO)</f>
        <v>286488.00000100001</v>
      </c>
    </row>
    <row r="48" spans="1:125" x14ac:dyDescent="0.25">
      <c r="A48" s="40" t="s">
        <v>269</v>
      </c>
      <c r="B48" s="40" t="s">
        <v>257</v>
      </c>
      <c r="C48" s="40" t="s">
        <v>106</v>
      </c>
      <c r="D48" s="40" t="str">
        <f t="shared" si="0"/>
        <v>C05TEMPO AQUA (MODIFIED)</v>
      </c>
      <c r="E48" s="41">
        <v>1</v>
      </c>
      <c r="F48" s="35">
        <f>SUMIF('5 Year Supply Plan'!A:A,'JZ_BRAND SPLITS'!C48,'5 Year Supply Plan'!H:H)</f>
        <v>14626.654236</v>
      </c>
      <c r="G48" s="35">
        <f t="shared" si="1"/>
        <v>14626.654236</v>
      </c>
      <c r="H48" s="35">
        <f>SUMIF('5 Year Supply Plan'!A:A,'JZ_BRAND SPLITS'!C48,'5 Year Supply Plan'!I:I)</f>
        <v>18625.050217</v>
      </c>
      <c r="I48" s="35">
        <f t="shared" si="2"/>
        <v>18625.050217</v>
      </c>
      <c r="J48" s="35">
        <f>SUMIF('5 Year Supply Plan'!A:A,'JZ_BRAND SPLITS'!C48,'5 Year Supply Plan'!J:J)</f>
        <v>15451.557022000001</v>
      </c>
      <c r="K48" s="35">
        <f t="shared" si="3"/>
        <v>15451.557022000001</v>
      </c>
      <c r="L48" s="35">
        <f>SUMIF('5 Year Supply Plan'!A:A,'JZ_BRAND SPLITS'!C48,'5 Year Supply Plan'!K:K)</f>
        <v>13445</v>
      </c>
      <c r="M48" s="35">
        <f t="shared" si="4"/>
        <v>13445</v>
      </c>
      <c r="N48" s="35">
        <f>SUMIF('5 Year Supply Plan'!A:A,'JZ_BRAND SPLITS'!C48,'5 Year Supply Plan'!L:L)</f>
        <v>17400</v>
      </c>
      <c r="O48" s="35">
        <f t="shared" si="5"/>
        <v>17400</v>
      </c>
      <c r="P48" s="35">
        <f>SUMIF('5 Year Supply Plan'!A:A,'JZ_BRAND SPLITS'!C48,'5 Year Supply Plan'!M:M)</f>
        <v>17950</v>
      </c>
      <c r="Q48" s="35">
        <f t="shared" si="6"/>
        <v>17950</v>
      </c>
      <c r="R48" s="35">
        <f>SUMIF('5 Year Supply Plan'!A:A,'JZ_BRAND SPLITS'!C48,'5 Year Supply Plan'!N:N)</f>
        <v>16254</v>
      </c>
      <c r="S48" s="35">
        <f t="shared" si="7"/>
        <v>16254</v>
      </c>
      <c r="T48" s="35">
        <f>SUMIF('5 Year Supply Plan'!A:A,'JZ_BRAND SPLITS'!C48,'5 Year Supply Plan'!O:O)</f>
        <v>12615</v>
      </c>
      <c r="U48" s="35">
        <f t="shared" si="8"/>
        <v>12615</v>
      </c>
      <c r="V48" s="35">
        <f>SUMIF('5 Year Supply Plan'!A:A,'JZ_BRAND SPLITS'!C48,'5 Year Supply Plan'!P:P)</f>
        <v>10272</v>
      </c>
      <c r="W48" s="35">
        <f t="shared" si="9"/>
        <v>10272</v>
      </c>
      <c r="X48" s="35">
        <f>SUMIF('5 Year Supply Plan'!A:A,'JZ_BRAND SPLITS'!C48,'5 Year Supply Plan'!Q:Q)</f>
        <v>4790</v>
      </c>
      <c r="Y48" s="35">
        <f t="shared" si="10"/>
        <v>4790</v>
      </c>
      <c r="Z48" s="35">
        <f>SUMIF('5 Year Supply Plan'!A:A,'JZ_BRAND SPLITS'!C48,'5 Year Supply Plan'!R:R)</f>
        <v>2365</v>
      </c>
      <c r="AA48" s="35">
        <f t="shared" si="11"/>
        <v>2365</v>
      </c>
      <c r="AB48" s="35">
        <f>SUMIF('5 Year Supply Plan'!A:A,'JZ_BRAND SPLITS'!C48,'5 Year Supply Plan'!S:S)</f>
        <v>3010</v>
      </c>
      <c r="AC48" s="35">
        <f t="shared" si="12"/>
        <v>3010</v>
      </c>
      <c r="AD48" s="35">
        <f>SUMIF('5 Year Supply Plan'!A:A,'JZ_BRAND SPLITS'!C48,'5 Year Supply Plan'!T:T)</f>
        <v>2929</v>
      </c>
      <c r="AE48" s="35">
        <f t="shared" si="13"/>
        <v>2929</v>
      </c>
      <c r="AF48" s="35">
        <f>SUMIF('5 Year Supply Plan'!A:A,'JZ_BRAND SPLITS'!C48,'5 Year Supply Plan'!U:U)</f>
        <v>2658</v>
      </c>
      <c r="AG48" s="35">
        <f t="shared" si="14"/>
        <v>2658</v>
      </c>
      <c r="AH48" s="35">
        <f>SUMIF('5 Year Supply Plan'!A:A,'JZ_BRAND SPLITS'!C48,'5 Year Supply Plan'!V:V)</f>
        <v>2706</v>
      </c>
      <c r="AI48" s="35">
        <f t="shared" si="15"/>
        <v>2706</v>
      </c>
      <c r="AJ48" s="35">
        <f>SUMIF('5 Year Supply Plan'!A:A,'JZ_BRAND SPLITS'!C48,'5 Year Supply Plan'!W:W)</f>
        <v>2715</v>
      </c>
      <c r="AK48" s="35">
        <f t="shared" si="16"/>
        <v>2715</v>
      </c>
      <c r="AL48" s="35">
        <f>SUMIF('5 Year Supply Plan'!A:A,'JZ_BRAND SPLITS'!C48,'5 Year Supply Plan'!X:X)</f>
        <v>2991</v>
      </c>
      <c r="AM48" s="35">
        <f t="shared" si="17"/>
        <v>2991</v>
      </c>
      <c r="AN48" s="35">
        <f>SUMIF('5 Year Supply Plan'!A:A,'JZ_BRAND SPLITS'!C48,'5 Year Supply Plan'!Y:Y)</f>
        <v>2757</v>
      </c>
      <c r="AO48" s="35">
        <f t="shared" si="18"/>
        <v>2757</v>
      </c>
      <c r="AP48" s="35">
        <f>SUMIF('5 Year Supply Plan'!A:A,'JZ_BRAND SPLITS'!C48,'5 Year Supply Plan'!Z:Z)</f>
        <v>2426</v>
      </c>
      <c r="AQ48" s="35">
        <f t="shared" si="19"/>
        <v>2426</v>
      </c>
      <c r="AR48" s="35">
        <f>SUMIF('5 Year Supply Plan'!A:A,'JZ_BRAND SPLITS'!C48,'5 Year Supply Plan'!AA:AA)</f>
        <v>2612</v>
      </c>
      <c r="AS48" s="35">
        <f t="shared" si="20"/>
        <v>2612</v>
      </c>
      <c r="AT48" s="35">
        <f>SUMIF('5 Year Supply Plan'!A:A,'JZ_BRAND SPLITS'!C48,'5 Year Supply Plan'!AB:AB)</f>
        <v>2961</v>
      </c>
      <c r="AU48" s="35">
        <f t="shared" si="21"/>
        <v>2961</v>
      </c>
      <c r="AV48" s="35">
        <f>SUMIF('5 Year Supply Plan'!A:A,'JZ_BRAND SPLITS'!C48,'5 Year Supply Plan'!AC:AC)</f>
        <v>2838</v>
      </c>
      <c r="AW48" s="35">
        <f t="shared" si="22"/>
        <v>2838</v>
      </c>
      <c r="AX48" s="35">
        <f>SUMIF('5 Year Supply Plan'!A:A,'JZ_BRAND SPLITS'!C48,'5 Year Supply Plan'!AD:AD)</f>
        <v>2486</v>
      </c>
      <c r="AY48" s="35">
        <f t="shared" si="23"/>
        <v>2486</v>
      </c>
      <c r="AZ48" s="35">
        <f>SUMIF('5 Year Supply Plan'!A:A,'JZ_BRAND SPLITS'!C48,'5 Year Supply Plan'!AE:AE)</f>
        <v>3164</v>
      </c>
      <c r="BA48" s="35">
        <f t="shared" si="24"/>
        <v>3164</v>
      </c>
      <c r="BB48" s="35">
        <f>SUMIF('5 Year Supply Plan'!A:A,'JZ_BRAND SPLITS'!C48,'5 Year Supply Plan'!AF:AF)</f>
        <v>3078</v>
      </c>
      <c r="BC48" s="35">
        <f t="shared" si="25"/>
        <v>3078</v>
      </c>
      <c r="BD48" s="35">
        <f>SUMIF('5 Year Supply Plan'!A:A,'JZ_BRAND SPLITS'!C48,'5 Year Supply Plan'!AG:AG)</f>
        <v>2793</v>
      </c>
      <c r="BE48" s="35">
        <f t="shared" si="26"/>
        <v>2793</v>
      </c>
      <c r="BF48" s="35">
        <f>SUMIF('5 Year Supply Plan'!A:A,'JZ_BRAND SPLITS'!C48,'5 Year Supply Plan'!AH:AH)</f>
        <v>2843</v>
      </c>
      <c r="BG48" s="35">
        <f t="shared" si="27"/>
        <v>2843</v>
      </c>
      <c r="BH48" s="35">
        <f>SUMIF('5 Year Supply Plan'!A:A,'JZ_BRAND SPLITS'!C48,'5 Year Supply Plan'!AI:AI)</f>
        <v>2854</v>
      </c>
      <c r="BI48" s="35">
        <f t="shared" si="28"/>
        <v>2854</v>
      </c>
      <c r="BJ48" s="35">
        <f>SUMIF('5 Year Supply Plan'!A:A,'JZ_BRAND SPLITS'!C48,'5 Year Supply Plan'!AJ:AJ)</f>
        <v>3144</v>
      </c>
      <c r="BK48" s="35">
        <f t="shared" si="29"/>
        <v>3144</v>
      </c>
      <c r="BL48" s="35">
        <f>SUMIF('5 Year Supply Plan'!A:A,'JZ_BRAND SPLITS'!C48,'5 Year Supply Plan'!AK:AK)</f>
        <v>2897</v>
      </c>
      <c r="BM48" s="35">
        <f t="shared" si="30"/>
        <v>2897</v>
      </c>
      <c r="BN48" s="35">
        <f>SUMIF('5 Year Supply Plan'!A:A,'JZ_BRAND SPLITS'!C48,'5 Year Supply Plan'!AL:AL)</f>
        <v>2550</v>
      </c>
      <c r="BO48" s="35">
        <f t="shared" si="31"/>
        <v>2550</v>
      </c>
      <c r="BP48" s="35">
        <f>SUMIF('5 Year Supply Plan'!A:A,'JZ_BRAND SPLITS'!C48,'5 Year Supply Plan'!AM:AM)</f>
        <v>2746</v>
      </c>
      <c r="BQ48" s="35">
        <f t="shared" si="32"/>
        <v>2746</v>
      </c>
      <c r="BR48" s="35">
        <f>SUMIF('5 Year Supply Plan'!A:A,'JZ_BRAND SPLITS'!C48,'5 Year Supply Plan'!AN:AN)</f>
        <v>3124</v>
      </c>
      <c r="BS48" s="35">
        <f t="shared" si="33"/>
        <v>3124</v>
      </c>
      <c r="BT48" s="35">
        <f>SUMIF('5 Year Supply Plan'!A:A,'JZ_BRAND SPLITS'!C48,'5 Year Supply Plan'!AO:AO)</f>
        <v>3029</v>
      </c>
      <c r="BU48" s="35">
        <f t="shared" si="34"/>
        <v>3029</v>
      </c>
      <c r="BV48" s="35">
        <f>SUMIF('5 Year Supply Plan'!A:A,'JZ_BRAND SPLITS'!C48,'5 Year Supply Plan'!AP:AP)</f>
        <v>2652</v>
      </c>
      <c r="BW48" s="35">
        <f t="shared" si="35"/>
        <v>2652</v>
      </c>
      <c r="BX48" s="35">
        <f>SUMIF('5 Year Supply Plan'!A:A,'JZ_BRAND SPLITS'!C48,'5 Year Supply Plan'!AQ:AQ)</f>
        <v>3376</v>
      </c>
      <c r="BY48" s="35">
        <f t="shared" si="36"/>
        <v>3376</v>
      </c>
      <c r="BZ48" s="35">
        <f>SUMIF('5 Year Supply Plan'!A:A,'JZ_BRAND SPLITS'!C48,'5 Year Supply Plan'!AR:AR)</f>
        <v>3286</v>
      </c>
      <c r="CA48" s="35">
        <f t="shared" si="37"/>
        <v>3286</v>
      </c>
      <c r="CB48" s="35">
        <f>SUMIF('5 Year Supply Plan'!A:A,'JZ_BRAND SPLITS'!C48,'5 Year Supply Plan'!AS:AS)</f>
        <v>2981</v>
      </c>
      <c r="CC48" s="35">
        <f t="shared" si="38"/>
        <v>2981</v>
      </c>
      <c r="CD48" s="35">
        <f>SUMIF('5 Year Supply Plan'!A:A,'JZ_BRAND SPLITS'!C48,'5 Year Supply Plan'!AT:AT)</f>
        <v>3033</v>
      </c>
      <c r="CE48" s="35">
        <f t="shared" si="39"/>
        <v>3033</v>
      </c>
      <c r="CF48" s="35">
        <f>SUMIF('5 Year Supply Plan'!A:A,'JZ_BRAND SPLITS'!C48,'5 Year Supply Plan'!AU:AU)</f>
        <v>3046</v>
      </c>
      <c r="CG48" s="35">
        <f t="shared" si="40"/>
        <v>3046</v>
      </c>
      <c r="CH48" s="35">
        <f>SUMIF('5 Year Supply Plan'!A:A,'JZ_BRAND SPLITS'!C48,'5 Year Supply Plan'!AV:AV)</f>
        <v>3355</v>
      </c>
      <c r="CI48" s="35">
        <f t="shared" si="41"/>
        <v>3355</v>
      </c>
      <c r="CJ48" s="35">
        <f>SUMIF('5 Year Supply Plan'!A:A,'JZ_BRAND SPLITS'!C48,'5 Year Supply Plan'!AW:AW)</f>
        <v>3092</v>
      </c>
      <c r="CK48" s="35">
        <f t="shared" si="42"/>
        <v>3092</v>
      </c>
      <c r="CL48" s="35">
        <f>SUMIF('5 Year Supply Plan'!A:A,'JZ_BRAND SPLITS'!C48,'5 Year Supply Plan'!AX:AX)</f>
        <v>2721</v>
      </c>
      <c r="CM48" s="35">
        <f t="shared" si="43"/>
        <v>2721</v>
      </c>
      <c r="CN48" s="35">
        <f>SUMIF('5 Year Supply Plan'!A:A,'JZ_BRAND SPLITS'!C48,'5 Year Supply Plan'!AY:AY)</f>
        <v>2946</v>
      </c>
      <c r="CO48" s="35">
        <f t="shared" si="44"/>
        <v>2946</v>
      </c>
      <c r="CP48" s="35">
        <f>SUMIF('5 Year Supply Plan'!A:A,'JZ_BRAND SPLITS'!C48,'5 Year Supply Plan'!AZ:AZ)</f>
        <v>3383</v>
      </c>
      <c r="CQ48" s="35">
        <f t="shared" si="45"/>
        <v>3383</v>
      </c>
      <c r="CR48" s="35">
        <f>SUMIF('5 Year Supply Plan'!A:A,'JZ_BRAND SPLITS'!C48,'5 Year Supply Plan'!BA:BA)</f>
        <v>3242</v>
      </c>
      <c r="CS48" s="35">
        <f t="shared" si="46"/>
        <v>3242</v>
      </c>
      <c r="CT48" s="35">
        <f>SUMIF('5 Year Supply Plan'!A:A,'JZ_BRAND SPLITS'!C48,'5 Year Supply Plan'!BB:BB)</f>
        <v>2838</v>
      </c>
      <c r="CU48" s="35">
        <f t="shared" si="47"/>
        <v>2838</v>
      </c>
      <c r="CV48" s="35">
        <f>SUMIF('5 Year Supply Plan'!A:A,'JZ_BRAND SPLITS'!C48,'5 Year Supply Plan'!BC:BC)</f>
        <v>3614</v>
      </c>
      <c r="CW48" s="35">
        <f t="shared" si="48"/>
        <v>3614</v>
      </c>
      <c r="CX48" s="35">
        <f>SUMIF('5 Year Supply Plan'!A:A,'JZ_BRAND SPLITS'!C48,'5 Year Supply Plan'!BD:BD)</f>
        <v>3517</v>
      </c>
      <c r="CY48" s="35">
        <f t="shared" si="49"/>
        <v>3517</v>
      </c>
      <c r="CZ48" s="35">
        <f>SUMIF('5 Year Supply Plan'!A:A,'JZ_BRAND SPLITS'!C48,'5 Year Supply Plan'!BE:BE)</f>
        <v>3190</v>
      </c>
      <c r="DA48" s="35">
        <f t="shared" si="50"/>
        <v>3190</v>
      </c>
      <c r="DB48" s="35">
        <f>SUMIF('5 Year Supply Plan'!A:A,'JZ_BRAND SPLITS'!C48,'5 Year Supply Plan'!BF:BF)</f>
        <v>3247</v>
      </c>
      <c r="DC48" s="35">
        <f t="shared" si="51"/>
        <v>3247</v>
      </c>
      <c r="DD48" s="35">
        <f>SUMIF('5 Year Supply Plan'!A:A,'JZ_BRAND SPLITS'!C48,'5 Year Supply Plan'!BG:BG)</f>
        <v>3260</v>
      </c>
      <c r="DE48" s="35">
        <f t="shared" si="52"/>
        <v>3260</v>
      </c>
      <c r="DF48" s="35">
        <f>SUMIF('5 Year Supply Plan'!A:A,'JZ_BRAND SPLITS'!C48,'5 Year Supply Plan'!BH:BH)</f>
        <v>3591</v>
      </c>
      <c r="DG48" s="35">
        <f t="shared" si="53"/>
        <v>3591</v>
      </c>
      <c r="DH48" s="35">
        <f>SUMIF('5 Year Supply Plan'!A:A,'JZ_BRAND SPLITS'!C48,'5 Year Supply Plan'!BI:BI)</f>
        <v>3309</v>
      </c>
      <c r="DI48" s="35">
        <f t="shared" si="54"/>
        <v>3309</v>
      </c>
      <c r="DJ48" s="35">
        <f>SUMIF('5 Year Supply Plan'!A:A,'JZ_BRAND SPLITS'!C48,'5 Year Supply Plan'!BJ:BJ)</f>
        <v>5148</v>
      </c>
      <c r="DK48" s="35">
        <f t="shared" si="55"/>
        <v>5148</v>
      </c>
      <c r="DL48" s="35">
        <f>SUMIF('5 Year Supply Plan'!A:A,'JZ_BRAND SPLITS'!C48,'5 Year Supply Plan'!BK:BK)</f>
        <v>10320</v>
      </c>
      <c r="DM48" s="35">
        <f t="shared" si="56"/>
        <v>10320</v>
      </c>
      <c r="DN48" s="42">
        <f>SUMIF('5 Year Supply Plan'!A:A,'JZ_BRAND SPLITS'!C48,'5 Year Supply Plan'!BL:BL)</f>
        <v>14721</v>
      </c>
      <c r="DO48" s="35">
        <f t="shared" si="57"/>
        <v>14721</v>
      </c>
      <c r="DP48" s="35">
        <f>SUMIF('5 Year Supply Plan'!A:A,'JZ_BRAND SPLITS'!C48,'5 Year Supply Plan'!BM:BM)</f>
        <v>4186.625</v>
      </c>
      <c r="DQ48" s="35">
        <f t="shared" si="58"/>
        <v>4186.625</v>
      </c>
      <c r="DR48" s="35">
        <f>SUMIF('5 Year Supply Plan'!A:A,'JZ_BRAND SPLITS'!C48,'5 Year Supply Plan'!BN:BN)</f>
        <v>4186.625</v>
      </c>
      <c r="DS48" s="35">
        <f t="shared" si="59"/>
        <v>4186.625</v>
      </c>
      <c r="DT48" s="39">
        <f t="shared" si="60"/>
        <v>311346.51147500001</v>
      </c>
      <c r="DU48" s="36">
        <f>SUMIF('5 Year Supply Plan'!A:A,'JZ_BRAND SPLITS'!C48,'5 Year Supply Plan'!BO:BO)</f>
        <v>311346.51147500001</v>
      </c>
    </row>
    <row r="49" spans="1:125" x14ac:dyDescent="0.25">
      <c r="A49" s="40" t="s">
        <v>270</v>
      </c>
      <c r="B49" s="40" t="s">
        <v>257</v>
      </c>
      <c r="C49" s="40" t="s">
        <v>81</v>
      </c>
      <c r="D49" s="40" t="str">
        <f t="shared" si="0"/>
        <v>C12AINFINITI</v>
      </c>
      <c r="E49" s="41">
        <v>0.55537602174815826</v>
      </c>
      <c r="F49" s="35">
        <f>SUMIF('5 Year Supply Plan'!A:A,'JZ_BRAND SPLITS'!C49,'5 Year Supply Plan'!H:H)</f>
        <v>694365.125</v>
      </c>
      <c r="G49" s="35">
        <f t="shared" si="1"/>
        <v>385633.74076316261</v>
      </c>
      <c r="H49" s="35">
        <f>SUMIF('5 Year Supply Plan'!A:A,'JZ_BRAND SPLITS'!C49,'5 Year Supply Plan'!I:I)</f>
        <v>824439.75</v>
      </c>
      <c r="I49" s="35">
        <f t="shared" si="2"/>
        <v>457874.06852604618</v>
      </c>
      <c r="J49" s="35">
        <f>SUMIF('5 Year Supply Plan'!A:A,'JZ_BRAND SPLITS'!C49,'5 Year Supply Plan'!J:J)</f>
        <v>685154.25</v>
      </c>
      <c r="K49" s="35">
        <f t="shared" si="3"/>
        <v>380518.24164884305</v>
      </c>
      <c r="L49" s="35">
        <f>SUMIF('5 Year Supply Plan'!A:A,'JZ_BRAND SPLITS'!C49,'5 Year Supply Plan'!K:K)</f>
        <v>652395</v>
      </c>
      <c r="M49" s="35">
        <f t="shared" si="4"/>
        <v>362324.53970838973</v>
      </c>
      <c r="N49" s="35">
        <f>SUMIF('5 Year Supply Plan'!A:A,'JZ_BRAND SPLITS'!C49,'5 Year Supply Plan'!L:L)</f>
        <v>400000</v>
      </c>
      <c r="O49" s="35">
        <f t="shared" si="5"/>
        <v>222150.40869926329</v>
      </c>
      <c r="P49" s="35">
        <f>SUMIF('5 Year Supply Plan'!A:A,'JZ_BRAND SPLITS'!C49,'5 Year Supply Plan'!M:M)</f>
        <v>650268</v>
      </c>
      <c r="Q49" s="35">
        <f t="shared" si="6"/>
        <v>361143.25491013139</v>
      </c>
      <c r="R49" s="35">
        <f>SUMIF('5 Year Supply Plan'!A:A,'JZ_BRAND SPLITS'!C49,'5 Year Supply Plan'!N:N)</f>
        <v>632412</v>
      </c>
      <c r="S49" s="35">
        <f t="shared" si="7"/>
        <v>351226.46066579624</v>
      </c>
      <c r="T49" s="35">
        <f>SUMIF('5 Year Supply Plan'!A:A,'JZ_BRAND SPLITS'!C49,'5 Year Supply Plan'!O:O)</f>
        <v>643687</v>
      </c>
      <c r="U49" s="35">
        <f t="shared" si="8"/>
        <v>357488.32531100675</v>
      </c>
      <c r="V49" s="35">
        <f>SUMIF('5 Year Supply Plan'!A:A,'JZ_BRAND SPLITS'!C49,'5 Year Supply Plan'!P:P)</f>
        <v>639404</v>
      </c>
      <c r="W49" s="35">
        <f t="shared" si="9"/>
        <v>355109.6498098594</v>
      </c>
      <c r="X49" s="35">
        <f>SUMIF('5 Year Supply Plan'!A:A,'JZ_BRAND SPLITS'!C49,'5 Year Supply Plan'!Q:Q)</f>
        <v>625246</v>
      </c>
      <c r="Y49" s="35">
        <f t="shared" si="10"/>
        <v>347246.63609394897</v>
      </c>
      <c r="Z49" s="35">
        <f>SUMIF('5 Year Supply Plan'!A:A,'JZ_BRAND SPLITS'!C49,'5 Year Supply Plan'!R:R)</f>
        <v>617521</v>
      </c>
      <c r="AA49" s="35">
        <f t="shared" si="11"/>
        <v>342956.35632594442</v>
      </c>
      <c r="AB49" s="35">
        <f>SUMIF('5 Year Supply Plan'!A:A,'JZ_BRAND SPLITS'!C49,'5 Year Supply Plan'!S:S)</f>
        <v>672459</v>
      </c>
      <c r="AC49" s="35">
        <f t="shared" si="12"/>
        <v>373467.60420874477</v>
      </c>
      <c r="AD49" s="35">
        <f>SUMIF('5 Year Supply Plan'!A:A,'JZ_BRAND SPLITS'!C49,'5 Year Supply Plan'!T:T)</f>
        <v>677531</v>
      </c>
      <c r="AE49" s="35">
        <f t="shared" si="13"/>
        <v>376284.47139105143</v>
      </c>
      <c r="AF49" s="35">
        <f>SUMIF('5 Year Supply Plan'!A:A,'JZ_BRAND SPLITS'!C49,'5 Year Supply Plan'!U:U)</f>
        <v>627555</v>
      </c>
      <c r="AG49" s="35">
        <f t="shared" si="14"/>
        <v>348528.99932816543</v>
      </c>
      <c r="AH49" s="35">
        <f>SUMIF('5 Year Supply Plan'!A:A,'JZ_BRAND SPLITS'!C49,'5 Year Supply Plan'!V:V)</f>
        <v>630297</v>
      </c>
      <c r="AI49" s="35">
        <f t="shared" si="15"/>
        <v>350051.8403797989</v>
      </c>
      <c r="AJ49" s="35">
        <f>SUMIF('5 Year Supply Plan'!A:A,'JZ_BRAND SPLITS'!C49,'5 Year Supply Plan'!W:W)</f>
        <v>626398</v>
      </c>
      <c r="AK49" s="35">
        <f t="shared" si="16"/>
        <v>347886.42927100282</v>
      </c>
      <c r="AL49" s="35">
        <f>SUMIF('5 Year Supply Plan'!A:A,'JZ_BRAND SPLITS'!C49,'5 Year Supply Plan'!X:X)</f>
        <v>698606</v>
      </c>
      <c r="AM49" s="35">
        <f t="shared" si="17"/>
        <v>387989.02104939386</v>
      </c>
      <c r="AN49" s="35">
        <f>SUMIF('5 Year Supply Plan'!A:A,'JZ_BRAND SPLITS'!C49,'5 Year Supply Plan'!Y:Y)</f>
        <v>677121</v>
      </c>
      <c r="AO49" s="35">
        <f t="shared" si="18"/>
        <v>376056.76722213469</v>
      </c>
      <c r="AP49" s="35">
        <f>SUMIF('5 Year Supply Plan'!A:A,'JZ_BRAND SPLITS'!C49,'5 Year Supply Plan'!Z:Z)</f>
        <v>601675</v>
      </c>
      <c r="AQ49" s="35">
        <f t="shared" si="19"/>
        <v>334155.86788532312</v>
      </c>
      <c r="AR49" s="35">
        <f>SUMIF('5 Year Supply Plan'!A:A,'JZ_BRAND SPLITS'!C49,'5 Year Supply Plan'!AA:AA)</f>
        <v>632136</v>
      </c>
      <c r="AS49" s="35">
        <f t="shared" si="20"/>
        <v>351073.17688379379</v>
      </c>
      <c r="AT49" s="35">
        <f>SUMIF('5 Year Supply Plan'!A:A,'JZ_BRAND SPLITS'!C49,'5 Year Supply Plan'!AB:AB)</f>
        <v>667494</v>
      </c>
      <c r="AU49" s="35">
        <f t="shared" si="21"/>
        <v>370710.16226076515</v>
      </c>
      <c r="AV49" s="35">
        <f>SUMIF('5 Year Supply Plan'!A:A,'JZ_BRAND SPLITS'!C49,'5 Year Supply Plan'!AC:AC)</f>
        <v>671189</v>
      </c>
      <c r="AW49" s="35">
        <f t="shared" si="22"/>
        <v>372762.2766611246</v>
      </c>
      <c r="AX49" s="35">
        <f>SUMIF('5 Year Supply Plan'!A:A,'JZ_BRAND SPLITS'!C49,'5 Year Supply Plan'!AD:AD)</f>
        <v>579605</v>
      </c>
      <c r="AY49" s="35">
        <f t="shared" si="23"/>
        <v>321898.71908534126</v>
      </c>
      <c r="AZ49" s="35">
        <f>SUMIF('5 Year Supply Plan'!A:A,'JZ_BRAND SPLITS'!C49,'5 Year Supply Plan'!AE:AE)</f>
        <v>718100</v>
      </c>
      <c r="BA49" s="35">
        <f t="shared" si="24"/>
        <v>398815.52121735242</v>
      </c>
      <c r="BB49" s="35">
        <f>SUMIF('5 Year Supply Plan'!A:A,'JZ_BRAND SPLITS'!C49,'5 Year Supply Plan'!AF:AF)</f>
        <v>724015</v>
      </c>
      <c r="BC49" s="35">
        <f t="shared" si="25"/>
        <v>402100.57038599282</v>
      </c>
      <c r="BD49" s="35">
        <f>SUMIF('5 Year Supply Plan'!A:A,'JZ_BRAND SPLITS'!C49,'5 Year Supply Plan'!AG:AG)</f>
        <v>670852</v>
      </c>
      <c r="BE49" s="35">
        <f t="shared" si="26"/>
        <v>372575.11494179547</v>
      </c>
      <c r="BF49" s="35">
        <f>SUMIF('5 Year Supply Plan'!A:A,'JZ_BRAND SPLITS'!C49,'5 Year Supply Plan'!AH:AH)</f>
        <v>671867</v>
      </c>
      <c r="BG49" s="35">
        <f t="shared" si="27"/>
        <v>373138.82160386984</v>
      </c>
      <c r="BH49" s="35">
        <f>SUMIF('5 Year Supply Plan'!A:A,'JZ_BRAND SPLITS'!C49,'5 Year Supply Plan'!AI:AI)</f>
        <v>668727</v>
      </c>
      <c r="BI49" s="35">
        <f t="shared" si="28"/>
        <v>371394.94089558063</v>
      </c>
      <c r="BJ49" s="35">
        <f>SUMIF('5 Year Supply Plan'!A:A,'JZ_BRAND SPLITS'!C49,'5 Year Supply Plan'!AJ:AJ)</f>
        <v>744642</v>
      </c>
      <c r="BK49" s="35">
        <f t="shared" si="29"/>
        <v>413556.31158659206</v>
      </c>
      <c r="BL49" s="35">
        <f>SUMIF('5 Year Supply Plan'!A:A,'JZ_BRAND SPLITS'!C49,'5 Year Supply Plan'!AK:AK)</f>
        <v>721918</v>
      </c>
      <c r="BM49" s="35">
        <f t="shared" si="30"/>
        <v>400935.94686838693</v>
      </c>
      <c r="BN49" s="35">
        <f>SUMIF('5 Year Supply Plan'!A:A,'JZ_BRAND SPLITS'!C49,'5 Year Supply Plan'!AL:AL)</f>
        <v>644990</v>
      </c>
      <c r="BO49" s="35">
        <f t="shared" si="31"/>
        <v>358211.98026734457</v>
      </c>
      <c r="BP49" s="35">
        <f>SUMIF('5 Year Supply Plan'!A:A,'JZ_BRAND SPLITS'!C49,'5 Year Supply Plan'!AM:AM)</f>
        <v>673843</v>
      </c>
      <c r="BQ49" s="35">
        <f t="shared" si="32"/>
        <v>374236.24462284421</v>
      </c>
      <c r="BR49" s="35">
        <f>SUMIF('5 Year Supply Plan'!A:A,'JZ_BRAND SPLITS'!C49,'5 Year Supply Plan'!AN:AN)</f>
        <v>708550</v>
      </c>
      <c r="BS49" s="35">
        <f t="shared" si="33"/>
        <v>393511.68020965753</v>
      </c>
      <c r="BT49" s="35">
        <f>SUMIF('5 Year Supply Plan'!A:A,'JZ_BRAND SPLITS'!C49,'5 Year Supply Plan'!AO:AO)</f>
        <v>719012</v>
      </c>
      <c r="BU49" s="35">
        <f t="shared" si="34"/>
        <v>399322.02414918673</v>
      </c>
      <c r="BV49" s="35">
        <f>SUMIF('5 Year Supply Plan'!A:A,'JZ_BRAND SPLITS'!C49,'5 Year Supply Plan'!AP:AP)</f>
        <v>618187</v>
      </c>
      <c r="BW49" s="35">
        <f t="shared" si="35"/>
        <v>343326.23675642873</v>
      </c>
      <c r="BX49" s="35">
        <f>SUMIF('5 Year Supply Plan'!A:A,'JZ_BRAND SPLITS'!C49,'5 Year Supply Plan'!AQ:AQ)</f>
        <v>763295</v>
      </c>
      <c r="BY49" s="35">
        <f t="shared" si="36"/>
        <v>423915.74052026047</v>
      </c>
      <c r="BZ49" s="35">
        <f>SUMIF('5 Year Supply Plan'!A:A,'JZ_BRAND SPLITS'!C49,'5 Year Supply Plan'!AR:AR)</f>
        <v>769796</v>
      </c>
      <c r="CA49" s="35">
        <f t="shared" si="37"/>
        <v>427526.24003764521</v>
      </c>
      <c r="CB49" s="35">
        <f>SUMIF('5 Year Supply Plan'!A:A,'JZ_BRAND SPLITS'!C49,'5 Year Supply Plan'!AS:AS)</f>
        <v>713937</v>
      </c>
      <c r="CC49" s="35">
        <f t="shared" si="38"/>
        <v>396503.49083881488</v>
      </c>
      <c r="CD49" s="35">
        <f>SUMIF('5 Year Supply Plan'!A:A,'JZ_BRAND SPLITS'!C49,'5 Year Supply Plan'!AT:AT)</f>
        <v>712039</v>
      </c>
      <c r="CE49" s="35">
        <f t="shared" si="39"/>
        <v>395449.38714953687</v>
      </c>
      <c r="CF49" s="35">
        <f>SUMIF('5 Year Supply Plan'!A:A,'JZ_BRAND SPLITS'!C49,'5 Year Supply Plan'!AU:AU)</f>
        <v>710212</v>
      </c>
      <c r="CG49" s="35">
        <f t="shared" si="40"/>
        <v>394434.71515780297</v>
      </c>
      <c r="CH49" s="35">
        <f>SUMIF('5 Year Supply Plan'!A:A,'JZ_BRAND SPLITS'!C49,'5 Year Supply Plan'!AV:AV)</f>
        <v>789265</v>
      </c>
      <c r="CI49" s="35">
        <f t="shared" si="41"/>
        <v>438338.85580506013</v>
      </c>
      <c r="CJ49" s="35">
        <f>SUMIF('5 Year Supply Plan'!A:A,'JZ_BRAND SPLITS'!C49,'5 Year Supply Plan'!AW:AW)</f>
        <v>765615</v>
      </c>
      <c r="CK49" s="35">
        <f t="shared" si="42"/>
        <v>425204.21289071621</v>
      </c>
      <c r="CL49" s="35">
        <f>SUMIF('5 Year Supply Plan'!A:A,'JZ_BRAND SPLITS'!C49,'5 Year Supply Plan'!AX:AX)</f>
        <v>690963</v>
      </c>
      <c r="CM49" s="35">
        <f t="shared" si="43"/>
        <v>383744.28211517265</v>
      </c>
      <c r="CN49" s="35">
        <f>SUMIF('5 Year Supply Plan'!A:A,'JZ_BRAND SPLITS'!C49,'5 Year Supply Plan'!AY:AY)</f>
        <v>712113</v>
      </c>
      <c r="CO49" s="35">
        <f t="shared" si="44"/>
        <v>395490.48497514625</v>
      </c>
      <c r="CP49" s="35">
        <f>SUMIF('5 Year Supply Plan'!A:A,'JZ_BRAND SPLITS'!C49,'5 Year Supply Plan'!AZ:AZ)</f>
        <v>749275</v>
      </c>
      <c r="CQ49" s="35">
        <f t="shared" si="45"/>
        <v>416129.3686953513</v>
      </c>
      <c r="CR49" s="35">
        <f>SUMIF('5 Year Supply Plan'!A:A,'JZ_BRAND SPLITS'!C49,'5 Year Supply Plan'!BA:BA)</f>
        <v>763112</v>
      </c>
      <c r="CS49" s="35">
        <f t="shared" si="46"/>
        <v>423814.10670828057</v>
      </c>
      <c r="CT49" s="35">
        <f>SUMIF('5 Year Supply Plan'!A:A,'JZ_BRAND SPLITS'!C49,'5 Year Supply Plan'!BB:BB)</f>
        <v>653184</v>
      </c>
      <c r="CU49" s="35">
        <f t="shared" si="47"/>
        <v>362762.73138954898</v>
      </c>
      <c r="CV49" s="35">
        <f>SUMIF('5 Year Supply Plan'!A:A,'JZ_BRAND SPLITS'!C49,'5 Year Supply Plan'!BC:BC)</f>
        <v>805035</v>
      </c>
      <c r="CW49" s="35">
        <f t="shared" si="48"/>
        <v>447097.13566802855</v>
      </c>
      <c r="CX49" s="35">
        <f>SUMIF('5 Year Supply Plan'!A:A,'JZ_BRAND SPLITS'!C49,'5 Year Supply Plan'!BD:BD)</f>
        <v>811507</v>
      </c>
      <c r="CY49" s="35">
        <f t="shared" si="49"/>
        <v>450691.52928078268</v>
      </c>
      <c r="CZ49" s="35">
        <f>SUMIF('5 Year Supply Plan'!A:A,'JZ_BRAND SPLITS'!C49,'5 Year Supply Plan'!BE:BE)</f>
        <v>753549</v>
      </c>
      <c r="DA49" s="35">
        <f t="shared" si="50"/>
        <v>418503.04581230291</v>
      </c>
      <c r="DB49" s="35">
        <f>SUMIF('5 Year Supply Plan'!A:A,'JZ_BRAND SPLITS'!C49,'5 Year Supply Plan'!BF:BF)</f>
        <v>748725</v>
      </c>
      <c r="DC49" s="35">
        <f t="shared" si="51"/>
        <v>415823.91188338981</v>
      </c>
      <c r="DD49" s="35">
        <f>SUMIF('5 Year Supply Plan'!A:A,'JZ_BRAND SPLITS'!C49,'5 Year Supply Plan'!BG:BG)</f>
        <v>748144</v>
      </c>
      <c r="DE49" s="35">
        <f t="shared" si="52"/>
        <v>415501.2384147541</v>
      </c>
      <c r="DF49" s="35">
        <f>SUMIF('5 Year Supply Plan'!A:A,'JZ_BRAND SPLITS'!C49,'5 Year Supply Plan'!BH:BH)</f>
        <v>830099</v>
      </c>
      <c r="DG49" s="35">
        <f t="shared" si="53"/>
        <v>461017.08027712442</v>
      </c>
      <c r="DH49" s="35">
        <f>SUMIF('5 Year Supply Plan'!A:A,'JZ_BRAND SPLITS'!C49,'5 Year Supply Plan'!BI:BI)</f>
        <v>797745</v>
      </c>
      <c r="DI49" s="35">
        <f t="shared" si="54"/>
        <v>443048.4444694845</v>
      </c>
      <c r="DJ49" s="35">
        <f>SUMIF('5 Year Supply Plan'!A:A,'JZ_BRAND SPLITS'!C49,'5 Year Supply Plan'!BJ:BJ)</f>
        <v>701599</v>
      </c>
      <c r="DK49" s="35">
        <f t="shared" si="55"/>
        <v>389651.26148248609</v>
      </c>
      <c r="DL49" s="35">
        <f>SUMIF('5 Year Supply Plan'!A:A,'JZ_BRAND SPLITS'!C49,'5 Year Supply Plan'!BK:BK)</f>
        <v>722492</v>
      </c>
      <c r="DM49" s="35">
        <f t="shared" si="56"/>
        <v>401254.73270487034</v>
      </c>
      <c r="DN49" s="42">
        <f>SUMIF('5 Year Supply Plan'!A:A,'JZ_BRAND SPLITS'!C49,'5 Year Supply Plan'!BL:BL)</f>
        <v>799900</v>
      </c>
      <c r="DO49" s="35">
        <f t="shared" si="57"/>
        <v>444245.2797963518</v>
      </c>
      <c r="DP49" s="35">
        <f>SUMIF('5 Year Supply Plan'!A:A,'JZ_BRAND SPLITS'!C49,'5 Year Supply Plan'!BM:BM)</f>
        <v>764232.5</v>
      </c>
      <c r="DQ49" s="35">
        <f t="shared" si="58"/>
        <v>424436.40554064937</v>
      </c>
      <c r="DR49" s="35">
        <f>SUMIF('5 Year Supply Plan'!A:A,'JZ_BRAND SPLITS'!C49,'5 Year Supply Plan'!BN:BN)</f>
        <v>764232.5</v>
      </c>
      <c r="DS49" s="35">
        <f t="shared" si="59"/>
        <v>424436.40554064937</v>
      </c>
      <c r="DT49" s="39">
        <f t="shared" si="60"/>
        <v>22854682.498748265</v>
      </c>
      <c r="DU49" s="36">
        <f>SUMIF('5 Year Supply Plan'!A:A,'JZ_BRAND SPLITS'!C49,'5 Year Supply Plan'!BO:BO)</f>
        <v>41151727.125</v>
      </c>
    </row>
    <row r="50" spans="1:125" x14ac:dyDescent="0.25">
      <c r="A50" s="40" t="s">
        <v>270</v>
      </c>
      <c r="B50" s="40" t="s">
        <v>257</v>
      </c>
      <c r="C50" s="40" t="s">
        <v>83</v>
      </c>
      <c r="D50" s="40" t="str">
        <f t="shared" si="0"/>
        <v>C12AINFINITI AMBI</v>
      </c>
      <c r="E50" s="41">
        <v>0.76880411255411241</v>
      </c>
      <c r="F50" s="35">
        <f>SUMIF('5 Year Supply Plan'!A:A,'JZ_BRAND SPLITS'!C50,'5 Year Supply Plan'!H:H)</f>
        <v>796.90679899999998</v>
      </c>
      <c r="G50" s="35">
        <f t="shared" si="1"/>
        <v>612.66522439353344</v>
      </c>
      <c r="H50" s="35">
        <f>SUMIF('5 Year Supply Plan'!A:A,'JZ_BRAND SPLITS'!C50,'5 Year Supply Plan'!I:I)</f>
        <v>1696.2485349999999</v>
      </c>
      <c r="I50" s="35">
        <f t="shared" si="2"/>
        <v>1304.0828496218883</v>
      </c>
      <c r="J50" s="35">
        <f>SUMIF('5 Year Supply Plan'!A:A,'JZ_BRAND SPLITS'!C50,'5 Year Supply Plan'!J:J)</f>
        <v>2390.7204590000001</v>
      </c>
      <c r="K50" s="35">
        <f t="shared" si="3"/>
        <v>1837.9957208464555</v>
      </c>
      <c r="L50" s="35">
        <f>SUMIF('5 Year Supply Plan'!A:A,'JZ_BRAND SPLITS'!C50,'5 Year Supply Plan'!K:K)</f>
        <v>760</v>
      </c>
      <c r="M50" s="35">
        <f t="shared" si="4"/>
        <v>584.29112554112544</v>
      </c>
      <c r="N50" s="35">
        <f>SUMIF('5 Year Supply Plan'!A:A,'JZ_BRAND SPLITS'!C50,'5 Year Supply Plan'!L:L)</f>
        <v>3189</v>
      </c>
      <c r="O50" s="35">
        <f t="shared" si="5"/>
        <v>2451.7163149350645</v>
      </c>
      <c r="P50" s="35">
        <f>SUMIF('5 Year Supply Plan'!A:A,'JZ_BRAND SPLITS'!C50,'5 Year Supply Plan'!M:M)</f>
        <v>2366</v>
      </c>
      <c r="Q50" s="35">
        <f t="shared" si="6"/>
        <v>1818.99053030303</v>
      </c>
      <c r="R50" s="35">
        <f>SUMIF('5 Year Supply Plan'!A:A,'JZ_BRAND SPLITS'!C50,'5 Year Supply Plan'!N:N)</f>
        <v>2994</v>
      </c>
      <c r="S50" s="35">
        <f t="shared" si="7"/>
        <v>2301.7995129870123</v>
      </c>
      <c r="T50" s="35">
        <f>SUMIF('5 Year Supply Plan'!A:A,'JZ_BRAND SPLITS'!C50,'5 Year Supply Plan'!O:O)</f>
        <v>2037</v>
      </c>
      <c r="U50" s="35">
        <f t="shared" si="8"/>
        <v>1566.053977272727</v>
      </c>
      <c r="V50" s="35">
        <f>SUMIF('5 Year Supply Plan'!A:A,'JZ_BRAND SPLITS'!C50,'5 Year Supply Plan'!P:P)</f>
        <v>3502</v>
      </c>
      <c r="W50" s="35">
        <f t="shared" si="9"/>
        <v>2692.3520021645018</v>
      </c>
      <c r="X50" s="35">
        <f>SUMIF('5 Year Supply Plan'!A:A,'JZ_BRAND SPLITS'!C50,'5 Year Supply Plan'!Q:Q)</f>
        <v>2860</v>
      </c>
      <c r="Y50" s="35">
        <f t="shared" si="10"/>
        <v>2198.7797619047615</v>
      </c>
      <c r="Z50" s="35">
        <f>SUMIF('5 Year Supply Plan'!A:A,'JZ_BRAND SPLITS'!C50,'5 Year Supply Plan'!R:R)</f>
        <v>2018</v>
      </c>
      <c r="AA50" s="35">
        <f t="shared" si="11"/>
        <v>1551.4466991341988</v>
      </c>
      <c r="AB50" s="35">
        <f>SUMIF('5 Year Supply Plan'!A:A,'JZ_BRAND SPLITS'!C50,'5 Year Supply Plan'!S:S)</f>
        <v>2562</v>
      </c>
      <c r="AC50" s="35">
        <f t="shared" si="12"/>
        <v>1969.676136363636</v>
      </c>
      <c r="AD50" s="35">
        <f>SUMIF('5 Year Supply Plan'!A:A,'JZ_BRAND SPLITS'!C50,'5 Year Supply Plan'!T:T)</f>
        <v>3029</v>
      </c>
      <c r="AE50" s="35">
        <f t="shared" si="13"/>
        <v>2328.7076569264063</v>
      </c>
      <c r="AF50" s="35">
        <f>SUMIF('5 Year Supply Plan'!A:A,'JZ_BRAND SPLITS'!C50,'5 Year Supply Plan'!U:U)</f>
        <v>2848</v>
      </c>
      <c r="AG50" s="35">
        <f t="shared" si="14"/>
        <v>2189.5541125541122</v>
      </c>
      <c r="AH50" s="35">
        <f>SUMIF('5 Year Supply Plan'!A:A,'JZ_BRAND SPLITS'!C50,'5 Year Supply Plan'!V:V)</f>
        <v>2336</v>
      </c>
      <c r="AI50" s="35">
        <f t="shared" si="15"/>
        <v>1795.9264069264066</v>
      </c>
      <c r="AJ50" s="35">
        <f>SUMIF('5 Year Supply Plan'!A:A,'JZ_BRAND SPLITS'!C50,'5 Year Supply Plan'!W:W)</f>
        <v>2257</v>
      </c>
      <c r="AK50" s="35">
        <f t="shared" si="16"/>
        <v>1735.1908820346316</v>
      </c>
      <c r="AL50" s="35">
        <f>SUMIF('5 Year Supply Plan'!A:A,'JZ_BRAND SPLITS'!C50,'5 Year Supply Plan'!X:X)</f>
        <v>3155</v>
      </c>
      <c r="AM50" s="35">
        <f t="shared" si="17"/>
        <v>2425.5769751082248</v>
      </c>
      <c r="AN50" s="35">
        <f>SUMIF('5 Year Supply Plan'!A:A,'JZ_BRAND SPLITS'!C50,'5 Year Supply Plan'!Y:Y)</f>
        <v>2915</v>
      </c>
      <c r="AO50" s="35">
        <f t="shared" si="18"/>
        <v>2241.0639880952376</v>
      </c>
      <c r="AP50" s="35">
        <f>SUMIF('5 Year Supply Plan'!A:A,'JZ_BRAND SPLITS'!C50,'5 Year Supply Plan'!Z:Z)</f>
        <v>2112</v>
      </c>
      <c r="AQ50" s="35">
        <f t="shared" si="19"/>
        <v>1623.7142857142853</v>
      </c>
      <c r="AR50" s="35">
        <f>SUMIF('5 Year Supply Plan'!A:A,'JZ_BRAND SPLITS'!C50,'5 Year Supply Plan'!AA:AA)</f>
        <v>2117</v>
      </c>
      <c r="AS50" s="35">
        <f t="shared" si="20"/>
        <v>1627.5583062770559</v>
      </c>
      <c r="AT50" s="35">
        <f>SUMIF('5 Year Supply Plan'!A:A,'JZ_BRAND SPLITS'!C50,'5 Year Supply Plan'!AB:AB)</f>
        <v>3157</v>
      </c>
      <c r="AU50" s="35">
        <f t="shared" si="21"/>
        <v>2427.114583333333</v>
      </c>
      <c r="AV50" s="35">
        <f>SUMIF('5 Year Supply Plan'!A:A,'JZ_BRAND SPLITS'!C50,'5 Year Supply Plan'!AC:AC)</f>
        <v>3090</v>
      </c>
      <c r="AW50" s="35">
        <f t="shared" si="22"/>
        <v>2375.6047077922071</v>
      </c>
      <c r="AX50" s="35">
        <f>SUMIF('5 Year Supply Plan'!A:A,'JZ_BRAND SPLITS'!C50,'5 Year Supply Plan'!AD:AD)</f>
        <v>2180</v>
      </c>
      <c r="AY50" s="35">
        <f t="shared" si="23"/>
        <v>1675.9929653679651</v>
      </c>
      <c r="AZ50" s="35">
        <f>SUMIF('5 Year Supply Plan'!A:A,'JZ_BRAND SPLITS'!C50,'5 Year Supply Plan'!AE:AE)</f>
        <v>2767</v>
      </c>
      <c r="BA50" s="35">
        <f t="shared" si="24"/>
        <v>2127.2809794372292</v>
      </c>
      <c r="BB50" s="35">
        <f>SUMIF('5 Year Supply Plan'!A:A,'JZ_BRAND SPLITS'!C50,'5 Year Supply Plan'!AF:AF)</f>
        <v>3271</v>
      </c>
      <c r="BC50" s="35">
        <f t="shared" si="25"/>
        <v>2514.7582521645018</v>
      </c>
      <c r="BD50" s="35">
        <f>SUMIF('5 Year Supply Plan'!A:A,'JZ_BRAND SPLITS'!C50,'5 Year Supply Plan'!AG:AG)</f>
        <v>3076</v>
      </c>
      <c r="BE50" s="35">
        <f t="shared" si="26"/>
        <v>2364.8414502164496</v>
      </c>
      <c r="BF50" s="35">
        <f>SUMIF('5 Year Supply Plan'!A:A,'JZ_BRAND SPLITS'!C50,'5 Year Supply Plan'!AH:AH)</f>
        <v>2524</v>
      </c>
      <c r="BG50" s="35">
        <f t="shared" si="27"/>
        <v>1940.4615800865797</v>
      </c>
      <c r="BH50" s="35">
        <f>SUMIF('5 Year Supply Plan'!A:A,'JZ_BRAND SPLITS'!C50,'5 Year Supply Plan'!AI:AI)</f>
        <v>2437</v>
      </c>
      <c r="BI50" s="35">
        <f t="shared" si="28"/>
        <v>1873.5756222943719</v>
      </c>
      <c r="BJ50" s="35">
        <f>SUMIF('5 Year Supply Plan'!A:A,'JZ_BRAND SPLITS'!C50,'5 Year Supply Plan'!AJ:AJ)</f>
        <v>3407</v>
      </c>
      <c r="BK50" s="35">
        <f t="shared" si="29"/>
        <v>2619.3156114718608</v>
      </c>
      <c r="BL50" s="35">
        <f>SUMIF('5 Year Supply Plan'!A:A,'JZ_BRAND SPLITS'!C50,'5 Year Supply Plan'!AK:AK)</f>
        <v>3148</v>
      </c>
      <c r="BM50" s="35">
        <f t="shared" si="30"/>
        <v>2420.1953463203458</v>
      </c>
      <c r="BN50" s="35">
        <f>SUMIF('5 Year Supply Plan'!A:A,'JZ_BRAND SPLITS'!C50,'5 Year Supply Plan'!AL:AL)</f>
        <v>2281</v>
      </c>
      <c r="BO50" s="35">
        <f t="shared" si="31"/>
        <v>1753.6421807359304</v>
      </c>
      <c r="BP50" s="35">
        <f>SUMIF('5 Year Supply Plan'!A:A,'JZ_BRAND SPLITS'!C50,'5 Year Supply Plan'!AM:AM)</f>
        <v>2287</v>
      </c>
      <c r="BQ50" s="35">
        <f t="shared" si="32"/>
        <v>1758.2550054112551</v>
      </c>
      <c r="BR50" s="35">
        <f>SUMIF('5 Year Supply Plan'!A:A,'JZ_BRAND SPLITS'!C50,'5 Year Supply Plan'!AN:AN)</f>
        <v>3409</v>
      </c>
      <c r="BS50" s="35">
        <f t="shared" si="33"/>
        <v>2620.8532196969691</v>
      </c>
      <c r="BT50" s="35">
        <f>SUMIF('5 Year Supply Plan'!A:A,'JZ_BRAND SPLITS'!C50,'5 Year Supply Plan'!AO:AO)</f>
        <v>3321</v>
      </c>
      <c r="BU50" s="35">
        <f t="shared" si="34"/>
        <v>2553.1984577922071</v>
      </c>
      <c r="BV50" s="35">
        <f>SUMIF('5 Year Supply Plan'!A:A,'JZ_BRAND SPLITS'!C50,'5 Year Supply Plan'!AP:AP)</f>
        <v>2343</v>
      </c>
      <c r="BW50" s="35">
        <f t="shared" si="35"/>
        <v>1801.3080357142853</v>
      </c>
      <c r="BX50" s="35">
        <f>SUMIF('5 Year Supply Plan'!A:A,'JZ_BRAND SPLITS'!C50,'5 Year Supply Plan'!AQ:AQ)</f>
        <v>2974</v>
      </c>
      <c r="BY50" s="35">
        <f t="shared" si="36"/>
        <v>2286.4234307359302</v>
      </c>
      <c r="BZ50" s="35">
        <f>SUMIF('5 Year Supply Plan'!A:A,'JZ_BRAND SPLITS'!C50,'5 Year Supply Plan'!AR:AR)</f>
        <v>3517</v>
      </c>
      <c r="CA50" s="35">
        <f t="shared" si="37"/>
        <v>2703.8840638528131</v>
      </c>
      <c r="CB50" s="35">
        <f>SUMIF('5 Year Supply Plan'!A:A,'JZ_BRAND SPLITS'!C50,'5 Year Supply Plan'!AS:AS)</f>
        <v>3307</v>
      </c>
      <c r="CC50" s="35">
        <f t="shared" si="38"/>
        <v>2542.4352002164496</v>
      </c>
      <c r="CD50" s="35">
        <f>SUMIF('5 Year Supply Plan'!A:A,'JZ_BRAND SPLITS'!C50,'5 Year Supply Plan'!AT:AT)</f>
        <v>2713</v>
      </c>
      <c r="CE50" s="35">
        <f t="shared" si="39"/>
        <v>2085.765557359307</v>
      </c>
      <c r="CF50" s="35">
        <f>SUMIF('5 Year Supply Plan'!A:A,'JZ_BRAND SPLITS'!C50,'5 Year Supply Plan'!AU:AU)</f>
        <v>2619</v>
      </c>
      <c r="CG50" s="35">
        <f t="shared" si="40"/>
        <v>2013.4979707792204</v>
      </c>
      <c r="CH50" s="35">
        <f>SUMIF('5 Year Supply Plan'!A:A,'JZ_BRAND SPLITS'!C50,'5 Year Supply Plan'!AV:AV)</f>
        <v>3663</v>
      </c>
      <c r="CI50" s="35">
        <f t="shared" si="41"/>
        <v>2816.1294642857138</v>
      </c>
      <c r="CJ50" s="35">
        <f>SUMIF('5 Year Supply Plan'!A:A,'JZ_BRAND SPLITS'!C50,'5 Year Supply Plan'!AW:AW)</f>
        <v>3384</v>
      </c>
      <c r="CK50" s="35">
        <f t="shared" si="42"/>
        <v>2601.6331168831166</v>
      </c>
      <c r="CL50" s="35">
        <f>SUMIF('5 Year Supply Plan'!A:A,'JZ_BRAND SPLITS'!C50,'5 Year Supply Plan'!AX:AX)</f>
        <v>2452</v>
      </c>
      <c r="CM50" s="35">
        <f t="shared" si="43"/>
        <v>1885.1076839826835</v>
      </c>
      <c r="CN50" s="35">
        <f>SUMIF('5 Year Supply Plan'!A:A,'JZ_BRAND SPLITS'!C50,'5 Year Supply Plan'!AY:AY)</f>
        <v>2459</v>
      </c>
      <c r="CO50" s="35">
        <f t="shared" si="44"/>
        <v>1890.4893127705625</v>
      </c>
      <c r="CP50" s="35">
        <f>SUMIF('5 Year Supply Plan'!A:A,'JZ_BRAND SPLITS'!C50,'5 Year Supply Plan'!AZ:AZ)</f>
        <v>3666</v>
      </c>
      <c r="CQ50" s="35">
        <f t="shared" si="45"/>
        <v>2818.4358766233759</v>
      </c>
      <c r="CR50" s="35">
        <f>SUMIF('5 Year Supply Plan'!A:A,'JZ_BRAND SPLITS'!C50,'5 Year Supply Plan'!BA:BA)</f>
        <v>3587</v>
      </c>
      <c r="CS50" s="35">
        <f t="shared" si="46"/>
        <v>2757.7003517316011</v>
      </c>
      <c r="CT50" s="35">
        <f>SUMIF('5 Year Supply Plan'!A:A,'JZ_BRAND SPLITS'!C50,'5 Year Supply Plan'!BB:BB)</f>
        <v>2530</v>
      </c>
      <c r="CU50" s="35">
        <f t="shared" si="47"/>
        <v>1945.0744047619044</v>
      </c>
      <c r="CV50" s="35">
        <f>SUMIF('5 Year Supply Plan'!A:A,'JZ_BRAND SPLITS'!C50,'5 Year Supply Plan'!BC:BC)</f>
        <v>3212</v>
      </c>
      <c r="CW50" s="35">
        <f t="shared" si="48"/>
        <v>2469.3988095238092</v>
      </c>
      <c r="CX50" s="35">
        <f>SUMIF('5 Year Supply Plan'!A:A,'JZ_BRAND SPLITS'!C50,'5 Year Supply Plan'!BD:BD)</f>
        <v>3798</v>
      </c>
      <c r="CY50" s="35">
        <f t="shared" si="49"/>
        <v>2919.918019480519</v>
      </c>
      <c r="CZ50" s="35">
        <f>SUMIF('5 Year Supply Plan'!A:A,'JZ_BRAND SPLITS'!C50,'5 Year Supply Plan'!BE:BE)</f>
        <v>3572</v>
      </c>
      <c r="DA50" s="35">
        <f t="shared" si="50"/>
        <v>2746.1682900432893</v>
      </c>
      <c r="DB50" s="35">
        <f>SUMIF('5 Year Supply Plan'!A:A,'JZ_BRAND SPLITS'!C50,'5 Year Supply Plan'!BF:BF)</f>
        <v>2929</v>
      </c>
      <c r="DC50" s="35">
        <f t="shared" si="51"/>
        <v>2251.8272456709951</v>
      </c>
      <c r="DD50" s="35">
        <f>SUMIF('5 Year Supply Plan'!A:A,'JZ_BRAND SPLITS'!C50,'5 Year Supply Plan'!BG:BG)</f>
        <v>2830</v>
      </c>
      <c r="DE50" s="35">
        <f t="shared" si="52"/>
        <v>2175.7156385281382</v>
      </c>
      <c r="DF50" s="35">
        <f>SUMIF('5 Year Supply Plan'!A:A,'JZ_BRAND SPLITS'!C50,'5 Year Supply Plan'!BH:BH)</f>
        <v>3955</v>
      </c>
      <c r="DG50" s="35">
        <f t="shared" si="53"/>
        <v>3040.6202651515146</v>
      </c>
      <c r="DH50" s="35">
        <f>SUMIF('5 Year Supply Plan'!A:A,'JZ_BRAND SPLITS'!C50,'5 Year Supply Plan'!BI:BI)</f>
        <v>3655</v>
      </c>
      <c r="DI50" s="35">
        <f t="shared" si="54"/>
        <v>2809.9790313852809</v>
      </c>
      <c r="DJ50" s="35">
        <f>SUMIF('5 Year Supply Plan'!A:A,'JZ_BRAND SPLITS'!C50,'5 Year Supply Plan'!BJ:BJ)</f>
        <v>2648</v>
      </c>
      <c r="DK50" s="35">
        <f t="shared" si="55"/>
        <v>2035.7932900432897</v>
      </c>
      <c r="DL50" s="35">
        <f>SUMIF('5 Year Supply Plan'!A:A,'JZ_BRAND SPLITS'!C50,'5 Year Supply Plan'!BK:BK)</f>
        <v>2657</v>
      </c>
      <c r="DM50" s="35">
        <f t="shared" si="56"/>
        <v>2042.7125270562767</v>
      </c>
      <c r="DN50" s="42">
        <f>SUMIF('5 Year Supply Plan'!A:A,'JZ_BRAND SPLITS'!C50,'5 Year Supply Plan'!BL:BL)</f>
        <v>3953</v>
      </c>
      <c r="DO50" s="35">
        <f t="shared" si="57"/>
        <v>3039.0826569264063</v>
      </c>
      <c r="DP50" s="35">
        <f>SUMIF('5 Year Supply Plan'!A:A,'JZ_BRAND SPLITS'!C50,'5 Year Supply Plan'!BM:BM)</f>
        <v>3255.5</v>
      </c>
      <c r="DQ50" s="35">
        <f t="shared" si="58"/>
        <v>2502.841788419913</v>
      </c>
      <c r="DR50" s="35">
        <f>SUMIF('5 Year Supply Plan'!A:A,'JZ_BRAND SPLITS'!C50,'5 Year Supply Plan'!BN:BN)</f>
        <v>3255.5</v>
      </c>
      <c r="DS50" s="35">
        <f t="shared" si="59"/>
        <v>2502.841788419913</v>
      </c>
      <c r="DT50" s="39">
        <f t="shared" si="60"/>
        <v>128567.01625157183</v>
      </c>
      <c r="DU50" s="36">
        <f>SUMIF('5 Year Supply Plan'!A:A,'JZ_BRAND SPLITS'!C50,'5 Year Supply Plan'!BO:BO)</f>
        <v>167229.87579299998</v>
      </c>
    </row>
    <row r="51" spans="1:125" x14ac:dyDescent="0.25">
      <c r="A51" s="40" t="s">
        <v>271</v>
      </c>
      <c r="B51" s="40" t="s">
        <v>257</v>
      </c>
      <c r="C51" s="40" t="s">
        <v>81</v>
      </c>
      <c r="D51" s="40" t="str">
        <f t="shared" si="0"/>
        <v>C12BINFINITI</v>
      </c>
      <c r="E51" s="41">
        <v>0.33810101894884836</v>
      </c>
      <c r="F51" s="35">
        <f>SUMIF('5 Year Supply Plan'!A:A,'JZ_BRAND SPLITS'!C51,'5 Year Supply Plan'!H:H)</f>
        <v>694365.125</v>
      </c>
      <c r="G51" s="35">
        <f t="shared" si="1"/>
        <v>234765.55628504447</v>
      </c>
      <c r="H51" s="35">
        <f>SUMIF('5 Year Supply Plan'!A:A,'JZ_BRAND SPLITS'!C51,'5 Year Supply Plan'!I:I)</f>
        <v>824439.75</v>
      </c>
      <c r="I51" s="35">
        <f t="shared" si="2"/>
        <v>278743.91953693383</v>
      </c>
      <c r="J51" s="35">
        <f>SUMIF('5 Year Supply Plan'!A:A,'JZ_BRAND SPLITS'!C51,'5 Year Supply Plan'!J:J)</f>
        <v>685154.25</v>
      </c>
      <c r="K51" s="35">
        <f t="shared" si="3"/>
        <v>231651.35006213398</v>
      </c>
      <c r="L51" s="35">
        <f>SUMIF('5 Year Supply Plan'!A:A,'JZ_BRAND SPLITS'!C51,'5 Year Supply Plan'!K:K)</f>
        <v>652395</v>
      </c>
      <c r="M51" s="35">
        <f t="shared" si="4"/>
        <v>220575.41425713393</v>
      </c>
      <c r="N51" s="35">
        <f>SUMIF('5 Year Supply Plan'!A:A,'JZ_BRAND SPLITS'!C51,'5 Year Supply Plan'!L:L)</f>
        <v>400000</v>
      </c>
      <c r="O51" s="35">
        <f t="shared" si="5"/>
        <v>135240.40757953934</v>
      </c>
      <c r="P51" s="35">
        <f>SUMIF('5 Year Supply Plan'!A:A,'JZ_BRAND SPLITS'!C51,'5 Year Supply Plan'!M:M)</f>
        <v>650268</v>
      </c>
      <c r="Q51" s="35">
        <f t="shared" si="6"/>
        <v>219856.27338982973</v>
      </c>
      <c r="R51" s="35">
        <f>SUMIF('5 Year Supply Plan'!A:A,'JZ_BRAND SPLITS'!C51,'5 Year Supply Plan'!N:N)</f>
        <v>632412</v>
      </c>
      <c r="S51" s="35">
        <f t="shared" si="7"/>
        <v>213819.1415954791</v>
      </c>
      <c r="T51" s="35">
        <f>SUMIF('5 Year Supply Plan'!A:A,'JZ_BRAND SPLITS'!C51,'5 Year Supply Plan'!O:O)</f>
        <v>643687</v>
      </c>
      <c r="U51" s="35">
        <f t="shared" si="8"/>
        <v>217631.23058412736</v>
      </c>
      <c r="V51" s="35">
        <f>SUMIF('5 Year Supply Plan'!A:A,'JZ_BRAND SPLITS'!C51,'5 Year Supply Plan'!P:P)</f>
        <v>639404</v>
      </c>
      <c r="W51" s="35">
        <f t="shared" si="9"/>
        <v>216183.14391996944</v>
      </c>
      <c r="X51" s="35">
        <f>SUMIF('5 Year Supply Plan'!A:A,'JZ_BRAND SPLITS'!C51,'5 Year Supply Plan'!Q:Q)</f>
        <v>625246</v>
      </c>
      <c r="Y51" s="35">
        <f t="shared" si="10"/>
        <v>211396.30969369164</v>
      </c>
      <c r="Z51" s="35">
        <f>SUMIF('5 Year Supply Plan'!A:A,'JZ_BRAND SPLITS'!C51,'5 Year Supply Plan'!R:R)</f>
        <v>617521</v>
      </c>
      <c r="AA51" s="35">
        <f t="shared" si="11"/>
        <v>208784.47932231179</v>
      </c>
      <c r="AB51" s="35">
        <f>SUMIF('5 Year Supply Plan'!A:A,'JZ_BRAND SPLITS'!C51,'5 Year Supply Plan'!S:S)</f>
        <v>672459</v>
      </c>
      <c r="AC51" s="35">
        <f t="shared" si="12"/>
        <v>227359.07310132362</v>
      </c>
      <c r="AD51" s="35">
        <f>SUMIF('5 Year Supply Plan'!A:A,'JZ_BRAND SPLITS'!C51,'5 Year Supply Plan'!T:T)</f>
        <v>677531</v>
      </c>
      <c r="AE51" s="35">
        <f t="shared" si="13"/>
        <v>229073.92146943219</v>
      </c>
      <c r="AF51" s="35">
        <f>SUMIF('5 Year Supply Plan'!A:A,'JZ_BRAND SPLITS'!C51,'5 Year Supply Plan'!U:U)</f>
        <v>627555</v>
      </c>
      <c r="AG51" s="35">
        <f t="shared" si="14"/>
        <v>212176.98494644454</v>
      </c>
      <c r="AH51" s="35">
        <f>SUMIF('5 Year Supply Plan'!A:A,'JZ_BRAND SPLITS'!C51,'5 Year Supply Plan'!V:V)</f>
        <v>630297</v>
      </c>
      <c r="AI51" s="35">
        <f t="shared" si="15"/>
        <v>213104.05794040227</v>
      </c>
      <c r="AJ51" s="35">
        <f>SUMIF('5 Year Supply Plan'!A:A,'JZ_BRAND SPLITS'!C51,'5 Year Supply Plan'!W:W)</f>
        <v>626398</v>
      </c>
      <c r="AK51" s="35">
        <f t="shared" si="16"/>
        <v>211785.80206752071</v>
      </c>
      <c r="AL51" s="35">
        <f>SUMIF('5 Year Supply Plan'!A:A,'JZ_BRAND SPLITS'!C51,'5 Year Supply Plan'!X:X)</f>
        <v>698606</v>
      </c>
      <c r="AM51" s="35">
        <f t="shared" si="17"/>
        <v>236199.40044377916</v>
      </c>
      <c r="AN51" s="35">
        <f>SUMIF('5 Year Supply Plan'!A:A,'JZ_BRAND SPLITS'!C51,'5 Year Supply Plan'!Y:Y)</f>
        <v>677121</v>
      </c>
      <c r="AO51" s="35">
        <f t="shared" si="18"/>
        <v>228935.30005166316</v>
      </c>
      <c r="AP51" s="35">
        <f>SUMIF('5 Year Supply Plan'!A:A,'JZ_BRAND SPLITS'!C51,'5 Year Supply Plan'!Z:Z)</f>
        <v>601675</v>
      </c>
      <c r="AQ51" s="35">
        <f t="shared" si="19"/>
        <v>203426.93057604833</v>
      </c>
      <c r="AR51" s="35">
        <f>SUMIF('5 Year Supply Plan'!A:A,'JZ_BRAND SPLITS'!C51,'5 Year Supply Plan'!AA:AA)</f>
        <v>632136</v>
      </c>
      <c r="AS51" s="35">
        <f t="shared" si="20"/>
        <v>213725.82571424922</v>
      </c>
      <c r="AT51" s="35">
        <f>SUMIF('5 Year Supply Plan'!A:A,'JZ_BRAND SPLITS'!C51,'5 Year Supply Plan'!AB:AB)</f>
        <v>667494</v>
      </c>
      <c r="AU51" s="35">
        <f t="shared" si="21"/>
        <v>225680.40154224259</v>
      </c>
      <c r="AV51" s="35">
        <f>SUMIF('5 Year Supply Plan'!A:A,'JZ_BRAND SPLITS'!C51,'5 Year Supply Plan'!AC:AC)</f>
        <v>671189</v>
      </c>
      <c r="AW51" s="35">
        <f t="shared" si="22"/>
        <v>226929.68480725857</v>
      </c>
      <c r="AX51" s="35">
        <f>SUMIF('5 Year Supply Plan'!A:A,'JZ_BRAND SPLITS'!C51,'5 Year Supply Plan'!AD:AD)</f>
        <v>579605</v>
      </c>
      <c r="AY51" s="35">
        <f t="shared" si="23"/>
        <v>195965.04108784726</v>
      </c>
      <c r="AZ51" s="35">
        <f>SUMIF('5 Year Supply Plan'!A:A,'JZ_BRAND SPLITS'!C51,'5 Year Supply Plan'!AE:AE)</f>
        <v>718100</v>
      </c>
      <c r="BA51" s="35">
        <f t="shared" si="24"/>
        <v>242790.341707168</v>
      </c>
      <c r="BB51" s="35">
        <f>SUMIF('5 Year Supply Plan'!A:A,'JZ_BRAND SPLITS'!C51,'5 Year Supply Plan'!AF:AF)</f>
        <v>724015</v>
      </c>
      <c r="BC51" s="35">
        <f t="shared" si="25"/>
        <v>244790.20923425045</v>
      </c>
      <c r="BD51" s="35">
        <f>SUMIF('5 Year Supply Plan'!A:A,'JZ_BRAND SPLITS'!C51,'5 Year Supply Plan'!AG:AG)</f>
        <v>670852</v>
      </c>
      <c r="BE51" s="35">
        <f t="shared" si="26"/>
        <v>226815.74476387282</v>
      </c>
      <c r="BF51" s="35">
        <f>SUMIF('5 Year Supply Plan'!A:A,'JZ_BRAND SPLITS'!C51,'5 Year Supply Plan'!AH:AH)</f>
        <v>671867</v>
      </c>
      <c r="BG51" s="35">
        <f t="shared" si="27"/>
        <v>227158.91729810589</v>
      </c>
      <c r="BH51" s="35">
        <f>SUMIF('5 Year Supply Plan'!A:A,'JZ_BRAND SPLITS'!C51,'5 Year Supply Plan'!AI:AI)</f>
        <v>668727</v>
      </c>
      <c r="BI51" s="35">
        <f t="shared" si="28"/>
        <v>226097.28009860651</v>
      </c>
      <c r="BJ51" s="35">
        <f>SUMIF('5 Year Supply Plan'!A:A,'JZ_BRAND SPLITS'!C51,'5 Year Supply Plan'!AJ:AJ)</f>
        <v>744642</v>
      </c>
      <c r="BK51" s="35">
        <f t="shared" si="29"/>
        <v>251764.21895210835</v>
      </c>
      <c r="BL51" s="35">
        <f>SUMIF('5 Year Supply Plan'!A:A,'JZ_BRAND SPLITS'!C51,'5 Year Supply Plan'!AK:AK)</f>
        <v>721918</v>
      </c>
      <c r="BM51" s="35">
        <f t="shared" si="30"/>
        <v>244081.21139751471</v>
      </c>
      <c r="BN51" s="35">
        <f>SUMIF('5 Year Supply Plan'!A:A,'JZ_BRAND SPLITS'!C51,'5 Year Supply Plan'!AL:AL)</f>
        <v>644990</v>
      </c>
      <c r="BO51" s="35">
        <f t="shared" si="31"/>
        <v>218071.77621181772</v>
      </c>
      <c r="BP51" s="35">
        <f>SUMIF('5 Year Supply Plan'!A:A,'JZ_BRAND SPLITS'!C51,'5 Year Supply Plan'!AM:AM)</f>
        <v>673843</v>
      </c>
      <c r="BQ51" s="35">
        <f t="shared" si="32"/>
        <v>227827.00491154884</v>
      </c>
      <c r="BR51" s="35">
        <f>SUMIF('5 Year Supply Plan'!A:A,'JZ_BRAND SPLITS'!C51,'5 Year Supply Plan'!AN:AN)</f>
        <v>708550</v>
      </c>
      <c r="BS51" s="35">
        <f t="shared" si="33"/>
        <v>239561.4769762065</v>
      </c>
      <c r="BT51" s="35">
        <f>SUMIF('5 Year Supply Plan'!A:A,'JZ_BRAND SPLITS'!C51,'5 Year Supply Plan'!AO:AO)</f>
        <v>719012</v>
      </c>
      <c r="BU51" s="35">
        <f t="shared" si="34"/>
        <v>243098.68983644937</v>
      </c>
      <c r="BV51" s="35">
        <f>SUMIF('5 Year Supply Plan'!A:A,'JZ_BRAND SPLITS'!C51,'5 Year Supply Plan'!AP:AP)</f>
        <v>618187</v>
      </c>
      <c r="BW51" s="35">
        <f t="shared" si="35"/>
        <v>209009.65460093171</v>
      </c>
      <c r="BX51" s="35">
        <f>SUMIF('5 Year Supply Plan'!A:A,'JZ_BRAND SPLITS'!C51,'5 Year Supply Plan'!AQ:AQ)</f>
        <v>763295</v>
      </c>
      <c r="BY51" s="35">
        <f t="shared" si="36"/>
        <v>258070.8172585612</v>
      </c>
      <c r="BZ51" s="35">
        <f>SUMIF('5 Year Supply Plan'!A:A,'JZ_BRAND SPLITS'!C51,'5 Year Supply Plan'!AR:AR)</f>
        <v>769796</v>
      </c>
      <c r="CA51" s="35">
        <f t="shared" si="37"/>
        <v>260268.81198274766</v>
      </c>
      <c r="CB51" s="35">
        <f>SUMIF('5 Year Supply Plan'!A:A,'JZ_BRAND SPLITS'!C51,'5 Year Supply Plan'!AS:AS)</f>
        <v>713937</v>
      </c>
      <c r="CC51" s="35">
        <f t="shared" si="38"/>
        <v>241382.82716528396</v>
      </c>
      <c r="CD51" s="35">
        <f>SUMIF('5 Year Supply Plan'!A:A,'JZ_BRAND SPLITS'!C51,'5 Year Supply Plan'!AT:AT)</f>
        <v>712039</v>
      </c>
      <c r="CE51" s="35">
        <f t="shared" si="39"/>
        <v>240741.11143131903</v>
      </c>
      <c r="CF51" s="35">
        <f>SUMIF('5 Year Supply Plan'!A:A,'JZ_BRAND SPLITS'!C51,'5 Year Supply Plan'!AU:AU)</f>
        <v>710212</v>
      </c>
      <c r="CG51" s="35">
        <f t="shared" si="40"/>
        <v>240123.40086969949</v>
      </c>
      <c r="CH51" s="35">
        <f>SUMIF('5 Year Supply Plan'!A:A,'JZ_BRAND SPLITS'!C51,'5 Year Supply Plan'!AV:AV)</f>
        <v>789265</v>
      </c>
      <c r="CI51" s="35">
        <f t="shared" si="41"/>
        <v>266851.30072066281</v>
      </c>
      <c r="CJ51" s="35">
        <f>SUMIF('5 Year Supply Plan'!A:A,'JZ_BRAND SPLITS'!C51,'5 Year Supply Plan'!AW:AW)</f>
        <v>765615</v>
      </c>
      <c r="CK51" s="35">
        <f t="shared" si="42"/>
        <v>258855.21162252253</v>
      </c>
      <c r="CL51" s="35">
        <f>SUMIF('5 Year Supply Plan'!A:A,'JZ_BRAND SPLITS'!C51,'5 Year Supply Plan'!AX:AX)</f>
        <v>690963</v>
      </c>
      <c r="CM51" s="35">
        <f t="shared" si="43"/>
        <v>233615.29435595311</v>
      </c>
      <c r="CN51" s="35">
        <f>SUMIF('5 Year Supply Plan'!A:A,'JZ_BRAND SPLITS'!C51,'5 Year Supply Plan'!AY:AY)</f>
        <v>712113</v>
      </c>
      <c r="CO51" s="35">
        <f t="shared" si="44"/>
        <v>240766.13090672126</v>
      </c>
      <c r="CP51" s="35">
        <f>SUMIF('5 Year Supply Plan'!A:A,'JZ_BRAND SPLITS'!C51,'5 Year Supply Plan'!AZ:AZ)</f>
        <v>749275</v>
      </c>
      <c r="CQ51" s="35">
        <f t="shared" si="45"/>
        <v>253330.64097289837</v>
      </c>
      <c r="CR51" s="35">
        <f>SUMIF('5 Year Supply Plan'!A:A,'JZ_BRAND SPLITS'!C51,'5 Year Supply Plan'!BA:BA)</f>
        <v>763112</v>
      </c>
      <c r="CS51" s="35">
        <f t="shared" si="46"/>
        <v>258008.94477209359</v>
      </c>
      <c r="CT51" s="35">
        <f>SUMIF('5 Year Supply Plan'!A:A,'JZ_BRAND SPLITS'!C51,'5 Year Supply Plan'!BB:BB)</f>
        <v>653184</v>
      </c>
      <c r="CU51" s="35">
        <f t="shared" si="47"/>
        <v>220842.17596108458</v>
      </c>
      <c r="CV51" s="35">
        <f>SUMIF('5 Year Supply Plan'!A:A,'JZ_BRAND SPLITS'!C51,'5 Year Supply Plan'!BC:BC)</f>
        <v>805035</v>
      </c>
      <c r="CW51" s="35">
        <f t="shared" si="48"/>
        <v>272183.15378948615</v>
      </c>
      <c r="CX51" s="35">
        <f>SUMIF('5 Year Supply Plan'!A:A,'JZ_BRAND SPLITS'!C51,'5 Year Supply Plan'!BD:BD)</f>
        <v>811507</v>
      </c>
      <c r="CY51" s="35">
        <f t="shared" si="49"/>
        <v>274371.34358412307</v>
      </c>
      <c r="CZ51" s="35">
        <f>SUMIF('5 Year Supply Plan'!A:A,'JZ_BRAND SPLITS'!C51,'5 Year Supply Plan'!BE:BE)</f>
        <v>753549</v>
      </c>
      <c r="DA51" s="35">
        <f t="shared" si="50"/>
        <v>254775.68472788573</v>
      </c>
      <c r="DB51" s="35">
        <f>SUMIF('5 Year Supply Plan'!A:A,'JZ_BRAND SPLITS'!C51,'5 Year Supply Plan'!BF:BF)</f>
        <v>748725</v>
      </c>
      <c r="DC51" s="35">
        <f t="shared" si="51"/>
        <v>253144.68541247648</v>
      </c>
      <c r="DD51" s="35">
        <f>SUMIF('5 Year Supply Plan'!A:A,'JZ_BRAND SPLITS'!C51,'5 Year Supply Plan'!BG:BG)</f>
        <v>748144</v>
      </c>
      <c r="DE51" s="35">
        <f t="shared" si="52"/>
        <v>252948.24872046721</v>
      </c>
      <c r="DF51" s="35">
        <f>SUMIF('5 Year Supply Plan'!A:A,'JZ_BRAND SPLITS'!C51,'5 Year Supply Plan'!BH:BH)</f>
        <v>830099</v>
      </c>
      <c r="DG51" s="35">
        <f t="shared" si="53"/>
        <v>280657.31772842008</v>
      </c>
      <c r="DH51" s="35">
        <f>SUMIF('5 Year Supply Plan'!A:A,'JZ_BRAND SPLITS'!C51,'5 Year Supply Plan'!BI:BI)</f>
        <v>797745</v>
      </c>
      <c r="DI51" s="35">
        <f t="shared" si="54"/>
        <v>269718.39736134902</v>
      </c>
      <c r="DJ51" s="35">
        <f>SUMIF('5 Year Supply Plan'!A:A,'JZ_BRAND SPLITS'!C51,'5 Year Supply Plan'!BJ:BJ)</f>
        <v>701599</v>
      </c>
      <c r="DK51" s="35">
        <f t="shared" si="55"/>
        <v>237211.33679349307</v>
      </c>
      <c r="DL51" s="35">
        <f>SUMIF('5 Year Supply Plan'!A:A,'JZ_BRAND SPLITS'!C51,'5 Year Supply Plan'!BK:BK)</f>
        <v>722492</v>
      </c>
      <c r="DM51" s="35">
        <f t="shared" si="56"/>
        <v>244275.28138239135</v>
      </c>
      <c r="DN51" s="42">
        <f>SUMIF('5 Year Supply Plan'!A:A,'JZ_BRAND SPLITS'!C51,'5 Year Supply Plan'!BL:BL)</f>
        <v>799900</v>
      </c>
      <c r="DO51" s="35">
        <f t="shared" si="57"/>
        <v>270447.00505718379</v>
      </c>
      <c r="DP51" s="35">
        <f>SUMIF('5 Year Supply Plan'!A:A,'JZ_BRAND SPLITS'!C51,'5 Year Supply Plan'!BM:BM)</f>
        <v>764232.5</v>
      </c>
      <c r="DQ51" s="35">
        <f t="shared" si="58"/>
        <v>258387.78696382575</v>
      </c>
      <c r="DR51" s="35">
        <f>SUMIF('5 Year Supply Plan'!A:A,'JZ_BRAND SPLITS'!C51,'5 Year Supply Plan'!BN:BN)</f>
        <v>764232.5</v>
      </c>
      <c r="DS51" s="35">
        <f t="shared" si="59"/>
        <v>258387.78696382575</v>
      </c>
      <c r="DT51" s="39">
        <f t="shared" si="60"/>
        <v>13913440.87246746</v>
      </c>
      <c r="DU51" s="36">
        <f>SUMIF('5 Year Supply Plan'!A:A,'JZ_BRAND SPLITS'!C51,'5 Year Supply Plan'!BO:BO)</f>
        <v>41151727.125</v>
      </c>
    </row>
    <row r="52" spans="1:125" x14ac:dyDescent="0.25">
      <c r="A52" s="40" t="s">
        <v>271</v>
      </c>
      <c r="B52" s="40" t="s">
        <v>257</v>
      </c>
      <c r="C52" s="40" t="s">
        <v>83</v>
      </c>
      <c r="D52" s="40" t="str">
        <f t="shared" si="0"/>
        <v>C12BINFINITI AMBI</v>
      </c>
      <c r="E52" s="41">
        <v>0.2311958874458874</v>
      </c>
      <c r="F52" s="35">
        <f>SUMIF('5 Year Supply Plan'!A:A,'JZ_BRAND SPLITS'!C52,'5 Year Supply Plan'!H:H)</f>
        <v>796.90679899999998</v>
      </c>
      <c r="G52" s="35">
        <f t="shared" si="1"/>
        <v>184.2415746064664</v>
      </c>
      <c r="H52" s="35">
        <f>SUMIF('5 Year Supply Plan'!A:A,'JZ_BRAND SPLITS'!C52,'5 Year Supply Plan'!I:I)</f>
        <v>1696.2485349999999</v>
      </c>
      <c r="I52" s="35">
        <f t="shared" si="2"/>
        <v>392.16568537811139</v>
      </c>
      <c r="J52" s="35">
        <f>SUMIF('5 Year Supply Plan'!A:A,'JZ_BRAND SPLITS'!C52,'5 Year Supply Plan'!J:J)</f>
        <v>2390.7204590000001</v>
      </c>
      <c r="K52" s="35">
        <f t="shared" si="3"/>
        <v>552.72473815354431</v>
      </c>
      <c r="L52" s="35">
        <f>SUMIF('5 Year Supply Plan'!A:A,'JZ_BRAND SPLITS'!C52,'5 Year Supply Plan'!K:K)</f>
        <v>760</v>
      </c>
      <c r="M52" s="35">
        <f t="shared" si="4"/>
        <v>175.70887445887442</v>
      </c>
      <c r="N52" s="35">
        <f>SUMIF('5 Year Supply Plan'!A:A,'JZ_BRAND SPLITS'!C52,'5 Year Supply Plan'!L:L)</f>
        <v>3189</v>
      </c>
      <c r="O52" s="35">
        <f t="shared" si="5"/>
        <v>737.28368506493496</v>
      </c>
      <c r="P52" s="35">
        <f>SUMIF('5 Year Supply Plan'!A:A,'JZ_BRAND SPLITS'!C52,'5 Year Supply Plan'!M:M)</f>
        <v>2366</v>
      </c>
      <c r="Q52" s="35">
        <f t="shared" si="6"/>
        <v>547.00946969696963</v>
      </c>
      <c r="R52" s="35">
        <f>SUMIF('5 Year Supply Plan'!A:A,'JZ_BRAND SPLITS'!C52,'5 Year Supply Plan'!N:N)</f>
        <v>2994</v>
      </c>
      <c r="S52" s="35">
        <f t="shared" si="7"/>
        <v>692.20048701298686</v>
      </c>
      <c r="T52" s="35">
        <f>SUMIF('5 Year Supply Plan'!A:A,'JZ_BRAND SPLITS'!C52,'5 Year Supply Plan'!O:O)</f>
        <v>2037</v>
      </c>
      <c r="U52" s="35">
        <f t="shared" si="8"/>
        <v>470.94602272727263</v>
      </c>
      <c r="V52" s="35">
        <f>SUMIF('5 Year Supply Plan'!A:A,'JZ_BRAND SPLITS'!C52,'5 Year Supply Plan'!P:P)</f>
        <v>3502</v>
      </c>
      <c r="W52" s="35">
        <f t="shared" si="9"/>
        <v>809.64799783549768</v>
      </c>
      <c r="X52" s="35">
        <f>SUMIF('5 Year Supply Plan'!A:A,'JZ_BRAND SPLITS'!C52,'5 Year Supply Plan'!Q:Q)</f>
        <v>2860</v>
      </c>
      <c r="Y52" s="35">
        <f t="shared" si="10"/>
        <v>661.22023809523796</v>
      </c>
      <c r="Z52" s="35">
        <f>SUMIF('5 Year Supply Plan'!A:A,'JZ_BRAND SPLITS'!C52,'5 Year Supply Plan'!R:R)</f>
        <v>2018</v>
      </c>
      <c r="AA52" s="35">
        <f t="shared" si="11"/>
        <v>466.55330086580079</v>
      </c>
      <c r="AB52" s="35">
        <f>SUMIF('5 Year Supply Plan'!A:A,'JZ_BRAND SPLITS'!C52,'5 Year Supply Plan'!S:S)</f>
        <v>2562</v>
      </c>
      <c r="AC52" s="35">
        <f t="shared" si="12"/>
        <v>592.32386363636351</v>
      </c>
      <c r="AD52" s="35">
        <f>SUMIF('5 Year Supply Plan'!A:A,'JZ_BRAND SPLITS'!C52,'5 Year Supply Plan'!T:T)</f>
        <v>3029</v>
      </c>
      <c r="AE52" s="35">
        <f t="shared" si="13"/>
        <v>700.29234307359297</v>
      </c>
      <c r="AF52" s="35">
        <f>SUMIF('5 Year Supply Plan'!A:A,'JZ_BRAND SPLITS'!C52,'5 Year Supply Plan'!U:U)</f>
        <v>2848</v>
      </c>
      <c r="AG52" s="35">
        <f t="shared" si="14"/>
        <v>658.44588744588737</v>
      </c>
      <c r="AH52" s="35">
        <f>SUMIF('5 Year Supply Plan'!A:A,'JZ_BRAND SPLITS'!C52,'5 Year Supply Plan'!V:V)</f>
        <v>2336</v>
      </c>
      <c r="AI52" s="35">
        <f t="shared" si="15"/>
        <v>540.07359307359297</v>
      </c>
      <c r="AJ52" s="35">
        <f>SUMIF('5 Year Supply Plan'!A:A,'JZ_BRAND SPLITS'!C52,'5 Year Supply Plan'!W:W)</f>
        <v>2257</v>
      </c>
      <c r="AK52" s="35">
        <f t="shared" si="16"/>
        <v>521.80911796536782</v>
      </c>
      <c r="AL52" s="35">
        <f>SUMIF('5 Year Supply Plan'!A:A,'JZ_BRAND SPLITS'!C52,'5 Year Supply Plan'!X:X)</f>
        <v>3155</v>
      </c>
      <c r="AM52" s="35">
        <f t="shared" si="17"/>
        <v>729.42302489177473</v>
      </c>
      <c r="AN52" s="35">
        <f>SUMIF('5 Year Supply Plan'!A:A,'JZ_BRAND SPLITS'!C52,'5 Year Supply Plan'!Y:Y)</f>
        <v>2915</v>
      </c>
      <c r="AO52" s="35">
        <f t="shared" si="18"/>
        <v>673.93601190476181</v>
      </c>
      <c r="AP52" s="35">
        <f>SUMIF('5 Year Supply Plan'!A:A,'JZ_BRAND SPLITS'!C52,'5 Year Supply Plan'!Z:Z)</f>
        <v>2112</v>
      </c>
      <c r="AQ52" s="35">
        <f t="shared" si="19"/>
        <v>488.28571428571416</v>
      </c>
      <c r="AR52" s="35">
        <f>SUMIF('5 Year Supply Plan'!A:A,'JZ_BRAND SPLITS'!C52,'5 Year Supply Plan'!AA:AA)</f>
        <v>2117</v>
      </c>
      <c r="AS52" s="35">
        <f t="shared" si="20"/>
        <v>489.44169372294363</v>
      </c>
      <c r="AT52" s="35">
        <f>SUMIF('5 Year Supply Plan'!A:A,'JZ_BRAND SPLITS'!C52,'5 Year Supply Plan'!AB:AB)</f>
        <v>3157</v>
      </c>
      <c r="AU52" s="35">
        <f t="shared" si="21"/>
        <v>729.88541666666652</v>
      </c>
      <c r="AV52" s="35">
        <f>SUMIF('5 Year Supply Plan'!A:A,'JZ_BRAND SPLITS'!C52,'5 Year Supply Plan'!AC:AC)</f>
        <v>3090</v>
      </c>
      <c r="AW52" s="35">
        <f t="shared" si="22"/>
        <v>714.39529220779207</v>
      </c>
      <c r="AX52" s="35">
        <f>SUMIF('5 Year Supply Plan'!A:A,'JZ_BRAND SPLITS'!C52,'5 Year Supply Plan'!AD:AD)</f>
        <v>2180</v>
      </c>
      <c r="AY52" s="35">
        <f t="shared" si="23"/>
        <v>504.0070346320345</v>
      </c>
      <c r="AZ52" s="35">
        <f>SUMIF('5 Year Supply Plan'!A:A,'JZ_BRAND SPLITS'!C52,'5 Year Supply Plan'!AE:AE)</f>
        <v>2767</v>
      </c>
      <c r="BA52" s="35">
        <f t="shared" si="24"/>
        <v>639.71902056277042</v>
      </c>
      <c r="BB52" s="35">
        <f>SUMIF('5 Year Supply Plan'!A:A,'JZ_BRAND SPLITS'!C52,'5 Year Supply Plan'!AF:AF)</f>
        <v>3271</v>
      </c>
      <c r="BC52" s="35">
        <f t="shared" si="25"/>
        <v>756.24174783549768</v>
      </c>
      <c r="BD52" s="35">
        <f>SUMIF('5 Year Supply Plan'!A:A,'JZ_BRAND SPLITS'!C52,'5 Year Supply Plan'!AG:AG)</f>
        <v>3076</v>
      </c>
      <c r="BE52" s="35">
        <f t="shared" si="26"/>
        <v>711.15854978354969</v>
      </c>
      <c r="BF52" s="35">
        <f>SUMIF('5 Year Supply Plan'!A:A,'JZ_BRAND SPLITS'!C52,'5 Year Supply Plan'!AH:AH)</f>
        <v>2524</v>
      </c>
      <c r="BG52" s="35">
        <f t="shared" si="27"/>
        <v>583.53841991341983</v>
      </c>
      <c r="BH52" s="35">
        <f>SUMIF('5 Year Supply Plan'!A:A,'JZ_BRAND SPLITS'!C52,'5 Year Supply Plan'!AI:AI)</f>
        <v>2437</v>
      </c>
      <c r="BI52" s="35">
        <f t="shared" si="28"/>
        <v>563.42437770562765</v>
      </c>
      <c r="BJ52" s="35">
        <f>SUMIF('5 Year Supply Plan'!A:A,'JZ_BRAND SPLITS'!C52,'5 Year Supply Plan'!AJ:AJ)</f>
        <v>3407</v>
      </c>
      <c r="BK52" s="35">
        <f t="shared" si="29"/>
        <v>787.68438852813836</v>
      </c>
      <c r="BL52" s="35">
        <f>SUMIF('5 Year Supply Plan'!A:A,'JZ_BRAND SPLITS'!C52,'5 Year Supply Plan'!AK:AK)</f>
        <v>3148</v>
      </c>
      <c r="BM52" s="35">
        <f t="shared" si="30"/>
        <v>727.80465367965348</v>
      </c>
      <c r="BN52" s="35">
        <f>SUMIF('5 Year Supply Plan'!A:A,'JZ_BRAND SPLITS'!C52,'5 Year Supply Plan'!AL:AL)</f>
        <v>2281</v>
      </c>
      <c r="BO52" s="35">
        <f t="shared" si="31"/>
        <v>527.35781926406912</v>
      </c>
      <c r="BP52" s="35">
        <f>SUMIF('5 Year Supply Plan'!A:A,'JZ_BRAND SPLITS'!C52,'5 Year Supply Plan'!AM:AM)</f>
        <v>2287</v>
      </c>
      <c r="BQ52" s="35">
        <f t="shared" si="32"/>
        <v>528.74499458874448</v>
      </c>
      <c r="BR52" s="35">
        <f>SUMIF('5 Year Supply Plan'!A:A,'JZ_BRAND SPLITS'!C52,'5 Year Supply Plan'!AN:AN)</f>
        <v>3409</v>
      </c>
      <c r="BS52" s="35">
        <f t="shared" si="33"/>
        <v>788.14678030303014</v>
      </c>
      <c r="BT52" s="35">
        <f>SUMIF('5 Year Supply Plan'!A:A,'JZ_BRAND SPLITS'!C52,'5 Year Supply Plan'!AO:AO)</f>
        <v>3321</v>
      </c>
      <c r="BU52" s="35">
        <f t="shared" si="34"/>
        <v>767.80154220779207</v>
      </c>
      <c r="BV52" s="35">
        <f>SUMIF('5 Year Supply Plan'!A:A,'JZ_BRAND SPLITS'!C52,'5 Year Supply Plan'!AP:AP)</f>
        <v>2343</v>
      </c>
      <c r="BW52" s="35">
        <f t="shared" si="35"/>
        <v>541.69196428571422</v>
      </c>
      <c r="BX52" s="35">
        <f>SUMIF('5 Year Supply Plan'!A:A,'JZ_BRAND SPLITS'!C52,'5 Year Supply Plan'!AQ:AQ)</f>
        <v>2974</v>
      </c>
      <c r="BY52" s="35">
        <f t="shared" si="36"/>
        <v>687.57656926406912</v>
      </c>
      <c r="BZ52" s="35">
        <f>SUMIF('5 Year Supply Plan'!A:A,'JZ_BRAND SPLITS'!C52,'5 Year Supply Plan'!AR:AR)</f>
        <v>3517</v>
      </c>
      <c r="CA52" s="35">
        <f t="shared" si="37"/>
        <v>813.11593614718595</v>
      </c>
      <c r="CB52" s="35">
        <f>SUMIF('5 Year Supply Plan'!A:A,'JZ_BRAND SPLITS'!C52,'5 Year Supply Plan'!AS:AS)</f>
        <v>3307</v>
      </c>
      <c r="CC52" s="35">
        <f t="shared" si="38"/>
        <v>764.56479978354957</v>
      </c>
      <c r="CD52" s="35">
        <f>SUMIF('5 Year Supply Plan'!A:A,'JZ_BRAND SPLITS'!C52,'5 Year Supply Plan'!AT:AT)</f>
        <v>2713</v>
      </c>
      <c r="CE52" s="35">
        <f t="shared" si="39"/>
        <v>627.23444264069246</v>
      </c>
      <c r="CF52" s="35">
        <f>SUMIF('5 Year Supply Plan'!A:A,'JZ_BRAND SPLITS'!C52,'5 Year Supply Plan'!AU:AU)</f>
        <v>2619</v>
      </c>
      <c r="CG52" s="35">
        <f t="shared" si="40"/>
        <v>605.50202922077915</v>
      </c>
      <c r="CH52" s="35">
        <f>SUMIF('5 Year Supply Plan'!A:A,'JZ_BRAND SPLITS'!C52,'5 Year Supply Plan'!AV:AV)</f>
        <v>3663</v>
      </c>
      <c r="CI52" s="35">
        <f t="shared" si="41"/>
        <v>846.87053571428555</v>
      </c>
      <c r="CJ52" s="35">
        <f>SUMIF('5 Year Supply Plan'!A:A,'JZ_BRAND SPLITS'!C52,'5 Year Supply Plan'!AW:AW)</f>
        <v>3384</v>
      </c>
      <c r="CK52" s="35">
        <f t="shared" si="42"/>
        <v>782.36688311688295</v>
      </c>
      <c r="CL52" s="35">
        <f>SUMIF('5 Year Supply Plan'!A:A,'JZ_BRAND SPLITS'!C52,'5 Year Supply Plan'!AX:AX)</f>
        <v>2452</v>
      </c>
      <c r="CM52" s="35">
        <f t="shared" si="43"/>
        <v>566.89231601731592</v>
      </c>
      <c r="CN52" s="35">
        <f>SUMIF('5 Year Supply Plan'!A:A,'JZ_BRAND SPLITS'!C52,'5 Year Supply Plan'!AY:AY)</f>
        <v>2459</v>
      </c>
      <c r="CO52" s="35">
        <f t="shared" si="44"/>
        <v>568.51068722943717</v>
      </c>
      <c r="CP52" s="35">
        <f>SUMIF('5 Year Supply Plan'!A:A,'JZ_BRAND SPLITS'!C52,'5 Year Supply Plan'!AZ:AZ)</f>
        <v>3666</v>
      </c>
      <c r="CQ52" s="35">
        <f t="shared" si="45"/>
        <v>847.56412337662323</v>
      </c>
      <c r="CR52" s="35">
        <f>SUMIF('5 Year Supply Plan'!A:A,'JZ_BRAND SPLITS'!C52,'5 Year Supply Plan'!BA:BA)</f>
        <v>3587</v>
      </c>
      <c r="CS52" s="35">
        <f t="shared" si="46"/>
        <v>829.29964826839807</v>
      </c>
      <c r="CT52" s="35">
        <f>SUMIF('5 Year Supply Plan'!A:A,'JZ_BRAND SPLITS'!C52,'5 Year Supply Plan'!BB:BB)</f>
        <v>2530</v>
      </c>
      <c r="CU52" s="35">
        <f t="shared" si="47"/>
        <v>584.92559523809507</v>
      </c>
      <c r="CV52" s="35">
        <f>SUMIF('5 Year Supply Plan'!A:A,'JZ_BRAND SPLITS'!C52,'5 Year Supply Plan'!BC:BC)</f>
        <v>3212</v>
      </c>
      <c r="CW52" s="35">
        <f t="shared" si="48"/>
        <v>742.60119047619037</v>
      </c>
      <c r="CX52" s="35">
        <f>SUMIF('5 Year Supply Plan'!A:A,'JZ_BRAND SPLITS'!C52,'5 Year Supply Plan'!BD:BD)</f>
        <v>3798</v>
      </c>
      <c r="CY52" s="35">
        <f t="shared" si="49"/>
        <v>878.08198051948034</v>
      </c>
      <c r="CZ52" s="35">
        <f>SUMIF('5 Year Supply Plan'!A:A,'JZ_BRAND SPLITS'!C52,'5 Year Supply Plan'!BE:BE)</f>
        <v>3572</v>
      </c>
      <c r="DA52" s="35">
        <f t="shared" si="50"/>
        <v>825.8317099567098</v>
      </c>
      <c r="DB52" s="35">
        <f>SUMIF('5 Year Supply Plan'!A:A,'JZ_BRAND SPLITS'!C52,'5 Year Supply Plan'!BF:BF)</f>
        <v>2929</v>
      </c>
      <c r="DC52" s="35">
        <f t="shared" si="51"/>
        <v>677.17275432900419</v>
      </c>
      <c r="DD52" s="35">
        <f>SUMIF('5 Year Supply Plan'!A:A,'JZ_BRAND SPLITS'!C52,'5 Year Supply Plan'!BG:BG)</f>
        <v>2830</v>
      </c>
      <c r="DE52" s="35">
        <f t="shared" si="52"/>
        <v>654.2843614718613</v>
      </c>
      <c r="DF52" s="35">
        <f>SUMIF('5 Year Supply Plan'!A:A,'JZ_BRAND SPLITS'!C52,'5 Year Supply Plan'!BH:BH)</f>
        <v>3955</v>
      </c>
      <c r="DG52" s="35">
        <f t="shared" si="53"/>
        <v>914.37973484848465</v>
      </c>
      <c r="DH52" s="35">
        <f>SUMIF('5 Year Supply Plan'!A:A,'JZ_BRAND SPLITS'!C52,'5 Year Supply Plan'!BI:BI)</f>
        <v>3655</v>
      </c>
      <c r="DI52" s="35">
        <f t="shared" si="54"/>
        <v>845.02096861471841</v>
      </c>
      <c r="DJ52" s="35">
        <f>SUMIF('5 Year Supply Plan'!A:A,'JZ_BRAND SPLITS'!C52,'5 Year Supply Plan'!BJ:BJ)</f>
        <v>2648</v>
      </c>
      <c r="DK52" s="35">
        <f t="shared" si="55"/>
        <v>612.2067099567098</v>
      </c>
      <c r="DL52" s="35">
        <f>SUMIF('5 Year Supply Plan'!A:A,'JZ_BRAND SPLITS'!C52,'5 Year Supply Plan'!BK:BK)</f>
        <v>2657</v>
      </c>
      <c r="DM52" s="35">
        <f t="shared" si="56"/>
        <v>614.28747294372283</v>
      </c>
      <c r="DN52" s="42">
        <f>SUMIF('5 Year Supply Plan'!A:A,'JZ_BRAND SPLITS'!C52,'5 Year Supply Plan'!BL:BL)</f>
        <v>3953</v>
      </c>
      <c r="DO52" s="35">
        <f t="shared" si="57"/>
        <v>913.91734307359286</v>
      </c>
      <c r="DP52" s="35">
        <f>SUMIF('5 Year Supply Plan'!A:A,'JZ_BRAND SPLITS'!C52,'5 Year Supply Plan'!BM:BM)</f>
        <v>3255.5</v>
      </c>
      <c r="DQ52" s="35">
        <f t="shared" si="58"/>
        <v>752.65821158008646</v>
      </c>
      <c r="DR52" s="35">
        <f>SUMIF('5 Year Supply Plan'!A:A,'JZ_BRAND SPLITS'!C52,'5 Year Supply Plan'!BN:BN)</f>
        <v>3255.5</v>
      </c>
      <c r="DS52" s="35">
        <f t="shared" si="59"/>
        <v>752.65821158008646</v>
      </c>
      <c r="DT52" s="39">
        <f t="shared" si="60"/>
        <v>38662.859541428166</v>
      </c>
      <c r="DU52" s="36">
        <f>SUMIF('5 Year Supply Plan'!A:A,'JZ_BRAND SPLITS'!C52,'5 Year Supply Plan'!BO:BO)</f>
        <v>167229.87579299998</v>
      </c>
    </row>
    <row r="53" spans="1:125" x14ac:dyDescent="0.25">
      <c r="A53" s="40" t="s">
        <v>272</v>
      </c>
      <c r="B53" s="40" t="s">
        <v>257</v>
      </c>
      <c r="C53" s="40" t="s">
        <v>99</v>
      </c>
      <c r="D53" s="40" t="str">
        <f t="shared" si="0"/>
        <v>C12CSUPERTORQUE</v>
      </c>
      <c r="E53" s="41">
        <v>0.69580815924007289</v>
      </c>
      <c r="F53" s="35">
        <f>SUMIF('5 Year Supply Plan'!A:A,'JZ_BRAND SPLITS'!C53,'5 Year Supply Plan'!H:H)</f>
        <v>40000.000976000003</v>
      </c>
      <c r="G53" s="35">
        <f t="shared" si="1"/>
        <v>27832.327048711682</v>
      </c>
      <c r="H53" s="35">
        <f>SUMIF('5 Year Supply Plan'!A:A,'JZ_BRAND SPLITS'!C53,'5 Year Supply Plan'!I:I)</f>
        <v>48480</v>
      </c>
      <c r="I53" s="35">
        <f t="shared" si="2"/>
        <v>33732.779559958733</v>
      </c>
      <c r="J53" s="35">
        <f>SUMIF('5 Year Supply Plan'!A:A,'JZ_BRAND SPLITS'!C53,'5 Year Supply Plan'!J:J)</f>
        <v>40400</v>
      </c>
      <c r="K53" s="35">
        <f t="shared" si="3"/>
        <v>28110.649633298945</v>
      </c>
      <c r="L53" s="35">
        <f>SUMIF('5 Year Supply Plan'!A:A,'JZ_BRAND SPLITS'!C53,'5 Year Supply Plan'!K:K)</f>
        <v>43923</v>
      </c>
      <c r="M53" s="35">
        <f t="shared" si="4"/>
        <v>30561.981778301721</v>
      </c>
      <c r="N53" s="35">
        <f>SUMIF('5 Year Supply Plan'!A:A,'JZ_BRAND SPLITS'!C53,'5 Year Supply Plan'!L:L)</f>
        <v>29824</v>
      </c>
      <c r="O53" s="35">
        <f t="shared" si="5"/>
        <v>20751.782541175933</v>
      </c>
      <c r="P53" s="35">
        <f>SUMIF('5 Year Supply Plan'!A:A,'JZ_BRAND SPLITS'!C53,'5 Year Supply Plan'!M:M)</f>
        <v>45200</v>
      </c>
      <c r="Q53" s="35">
        <f t="shared" si="6"/>
        <v>31450.528797651295</v>
      </c>
      <c r="R53" s="35">
        <f>SUMIF('5 Year Supply Plan'!A:A,'JZ_BRAND SPLITS'!C53,'5 Year Supply Plan'!N:N)</f>
        <v>40610</v>
      </c>
      <c r="S53" s="35">
        <f t="shared" si="7"/>
        <v>28256.769346739358</v>
      </c>
      <c r="T53" s="35">
        <f>SUMIF('5 Year Supply Plan'!A:A,'JZ_BRAND SPLITS'!C53,'5 Year Supply Plan'!O:O)</f>
        <v>43590</v>
      </c>
      <c r="U53" s="35">
        <f t="shared" si="8"/>
        <v>30330.277661274777</v>
      </c>
      <c r="V53" s="35">
        <f>SUMIF('5 Year Supply Plan'!A:A,'JZ_BRAND SPLITS'!C53,'5 Year Supply Plan'!P:P)</f>
        <v>49005</v>
      </c>
      <c r="W53" s="35">
        <f t="shared" si="9"/>
        <v>34098.078843559771</v>
      </c>
      <c r="X53" s="35">
        <f>SUMIF('5 Year Supply Plan'!A:A,'JZ_BRAND SPLITS'!C53,'5 Year Supply Plan'!Q:Q)</f>
        <v>42891</v>
      </c>
      <c r="Y53" s="35">
        <f t="shared" si="10"/>
        <v>29843.907757965968</v>
      </c>
      <c r="Z53" s="35">
        <f>SUMIF('5 Year Supply Plan'!A:A,'JZ_BRAND SPLITS'!C53,'5 Year Supply Plan'!R:R)</f>
        <v>33429</v>
      </c>
      <c r="AA53" s="35">
        <f t="shared" si="11"/>
        <v>23260.170955236397</v>
      </c>
      <c r="AB53" s="35">
        <f>SUMIF('5 Year Supply Plan'!A:A,'JZ_BRAND SPLITS'!C53,'5 Year Supply Plan'!S:S)</f>
        <v>44901</v>
      </c>
      <c r="AC53" s="35">
        <f t="shared" si="12"/>
        <v>31242.482158038514</v>
      </c>
      <c r="AD53" s="35">
        <f>SUMIF('5 Year Supply Plan'!A:A,'JZ_BRAND SPLITS'!C53,'5 Year Supply Plan'!T:T)</f>
        <v>43437</v>
      </c>
      <c r="AE53" s="35">
        <f t="shared" si="13"/>
        <v>30223.819012911044</v>
      </c>
      <c r="AF53" s="35">
        <f>SUMIF('5 Year Supply Plan'!A:A,'JZ_BRAND SPLITS'!C53,'5 Year Supply Plan'!U:U)</f>
        <v>42081</v>
      </c>
      <c r="AG53" s="35">
        <f t="shared" si="14"/>
        <v>29280.303148981508</v>
      </c>
      <c r="AH53" s="35">
        <f>SUMIF('5 Year Supply Plan'!A:A,'JZ_BRAND SPLITS'!C53,'5 Year Supply Plan'!V:V)</f>
        <v>47014</v>
      </c>
      <c r="AI53" s="35">
        <f t="shared" si="15"/>
        <v>32712.724798512787</v>
      </c>
      <c r="AJ53" s="35">
        <f>SUMIF('5 Year Supply Plan'!A:A,'JZ_BRAND SPLITS'!C53,'5 Year Supply Plan'!W:W)</f>
        <v>45695</v>
      </c>
      <c r="AK53" s="35">
        <f t="shared" si="16"/>
        <v>31794.953836475132</v>
      </c>
      <c r="AL53" s="35">
        <f>SUMIF('5 Year Supply Plan'!A:A,'JZ_BRAND SPLITS'!C53,'5 Year Supply Plan'!X:X)</f>
        <v>51602</v>
      </c>
      <c r="AM53" s="35">
        <f t="shared" si="17"/>
        <v>35905.092633106244</v>
      </c>
      <c r="AN53" s="35">
        <f>SUMIF('5 Year Supply Plan'!A:A,'JZ_BRAND SPLITS'!C53,'5 Year Supply Plan'!Y:Y)</f>
        <v>50623</v>
      </c>
      <c r="AO53" s="35">
        <f t="shared" si="18"/>
        <v>35223.896445210208</v>
      </c>
      <c r="AP53" s="35">
        <f>SUMIF('5 Year Supply Plan'!A:A,'JZ_BRAND SPLITS'!C53,'5 Year Supply Plan'!Z:Z)</f>
        <v>45183</v>
      </c>
      <c r="AQ53" s="35">
        <f t="shared" si="19"/>
        <v>31438.700058944214</v>
      </c>
      <c r="AR53" s="35">
        <f>SUMIF('5 Year Supply Plan'!A:A,'JZ_BRAND SPLITS'!C53,'5 Year Supply Plan'!AA:AA)</f>
        <v>46193</v>
      </c>
      <c r="AS53" s="35">
        <f t="shared" si="20"/>
        <v>32141.466299776686</v>
      </c>
      <c r="AT53" s="35">
        <f>SUMIF('5 Year Supply Plan'!A:A,'JZ_BRAND SPLITS'!C53,'5 Year Supply Plan'!AB:AB)</f>
        <v>53659</v>
      </c>
      <c r="AU53" s="35">
        <f t="shared" si="21"/>
        <v>37336.370016663073</v>
      </c>
      <c r="AV53" s="35">
        <f>SUMIF('5 Year Supply Plan'!A:A,'JZ_BRAND SPLITS'!C53,'5 Year Supply Plan'!AC:AC)</f>
        <v>46879</v>
      </c>
      <c r="AW53" s="35">
        <f t="shared" si="22"/>
        <v>32618.790697015378</v>
      </c>
      <c r="AX53" s="35">
        <f>SUMIF('5 Year Supply Plan'!A:A,'JZ_BRAND SPLITS'!C53,'5 Year Supply Plan'!AD:AD)</f>
        <v>36752</v>
      </c>
      <c r="AY53" s="35">
        <f t="shared" si="23"/>
        <v>25572.341468391158</v>
      </c>
      <c r="AZ53" s="35">
        <f>SUMIF('5 Year Supply Plan'!A:A,'JZ_BRAND SPLITS'!C53,'5 Year Supply Plan'!AE:AE)</f>
        <v>49318</v>
      </c>
      <c r="BA53" s="35">
        <f t="shared" si="24"/>
        <v>34315.866797401912</v>
      </c>
      <c r="BB53" s="35">
        <f>SUMIF('5 Year Supply Plan'!A:A,'JZ_BRAND SPLITS'!C53,'5 Year Supply Plan'!AF:AF)</f>
        <v>47672</v>
      </c>
      <c r="BC53" s="35">
        <f t="shared" si="25"/>
        <v>33170.566567292757</v>
      </c>
      <c r="BD53" s="35">
        <f>SUMIF('5 Year Supply Plan'!A:A,'JZ_BRAND SPLITS'!C53,'5 Year Supply Plan'!AG:AG)</f>
        <v>46139</v>
      </c>
      <c r="BE53" s="35">
        <f t="shared" si="26"/>
        <v>32103.892659177724</v>
      </c>
      <c r="BF53" s="35">
        <f>SUMIF('5 Year Supply Plan'!A:A,'JZ_BRAND SPLITS'!C53,'5 Year Supply Plan'!AH:AH)</f>
        <v>50972</v>
      </c>
      <c r="BG53" s="35">
        <f t="shared" si="27"/>
        <v>35466.733492784995</v>
      </c>
      <c r="BH53" s="35">
        <f>SUMIF('5 Year Supply Plan'!A:A,'JZ_BRAND SPLITS'!C53,'5 Year Supply Plan'!AI:AI)</f>
        <v>49658</v>
      </c>
      <c r="BI53" s="35">
        <f t="shared" si="28"/>
        <v>34552.441571543539</v>
      </c>
      <c r="BJ53" s="35">
        <f>SUMIF('5 Year Supply Plan'!A:A,'JZ_BRAND SPLITS'!C53,'5 Year Supply Plan'!AJ:AJ)</f>
        <v>56104</v>
      </c>
      <c r="BK53" s="35">
        <f t="shared" si="29"/>
        <v>39037.620966005052</v>
      </c>
      <c r="BL53" s="35">
        <f>SUMIF('5 Year Supply Plan'!A:A,'JZ_BRAND SPLITS'!C53,'5 Year Supply Plan'!AK:AK)</f>
        <v>54915</v>
      </c>
      <c r="BM53" s="35">
        <f t="shared" si="30"/>
        <v>38210.305064668602</v>
      </c>
      <c r="BN53" s="35">
        <f>SUMIF('5 Year Supply Plan'!A:A,'JZ_BRAND SPLITS'!C53,'5 Year Supply Plan'!AL:AL)</f>
        <v>48840</v>
      </c>
      <c r="BO53" s="35">
        <f t="shared" si="31"/>
        <v>33983.270497285157</v>
      </c>
      <c r="BP53" s="35">
        <f>SUMIF('5 Year Supply Plan'!A:A,'JZ_BRAND SPLITS'!C53,'5 Year Supply Plan'!AM:AM)</f>
        <v>50041</v>
      </c>
      <c r="BQ53" s="35">
        <f t="shared" si="32"/>
        <v>34818.936096532489</v>
      </c>
      <c r="BR53" s="35">
        <f>SUMIF('5 Year Supply Plan'!A:A,'JZ_BRAND SPLITS'!C53,'5 Year Supply Plan'!AN:AN)</f>
        <v>58115</v>
      </c>
      <c r="BS53" s="35">
        <f t="shared" si="33"/>
        <v>40436.891174236836</v>
      </c>
      <c r="BT53" s="35">
        <f>SUMIF('5 Year Supply Plan'!A:A,'JZ_BRAND SPLITS'!C53,'5 Year Supply Plan'!AO:AO)</f>
        <v>49155</v>
      </c>
      <c r="BU53" s="35">
        <f t="shared" si="34"/>
        <v>34202.450067445781</v>
      </c>
      <c r="BV53" s="35">
        <f>SUMIF('5 Year Supply Plan'!A:A,'JZ_BRAND SPLITS'!C53,'5 Year Supply Plan'!AP:AP)</f>
        <v>38565</v>
      </c>
      <c r="BW53" s="35">
        <f t="shared" si="35"/>
        <v>26833.841661093411</v>
      </c>
      <c r="BX53" s="35">
        <f>SUMIF('5 Year Supply Plan'!A:A,'JZ_BRAND SPLITS'!C53,'5 Year Supply Plan'!AQ:AQ)</f>
        <v>51745</v>
      </c>
      <c r="BY53" s="35">
        <f t="shared" si="36"/>
        <v>36004.59319987757</v>
      </c>
      <c r="BZ53" s="35">
        <f>SUMIF('5 Year Supply Plan'!A:A,'JZ_BRAND SPLITS'!C53,'5 Year Supply Plan'!AR:AR)</f>
        <v>50006</v>
      </c>
      <c r="CA53" s="35">
        <f t="shared" si="37"/>
        <v>34794.582810959088</v>
      </c>
      <c r="CB53" s="35">
        <f>SUMIF('5 Year Supply Plan'!A:A,'JZ_BRAND SPLITS'!C53,'5 Year Supply Plan'!AS:AS)</f>
        <v>48390</v>
      </c>
      <c r="CC53" s="35">
        <f t="shared" si="38"/>
        <v>33670.156825627128</v>
      </c>
      <c r="CD53" s="35">
        <f>SUMIF('5 Year Supply Plan'!A:A,'JZ_BRAND SPLITS'!C53,'5 Year Supply Plan'!AT:AT)</f>
        <v>53358</v>
      </c>
      <c r="CE53" s="35">
        <f t="shared" si="39"/>
        <v>37126.931760731808</v>
      </c>
      <c r="CF53" s="35">
        <f>SUMIF('5 Year Supply Plan'!A:A,'JZ_BRAND SPLITS'!C53,'5 Year Supply Plan'!AU:AU)</f>
        <v>52005</v>
      </c>
      <c r="CG53" s="35">
        <f t="shared" si="40"/>
        <v>36185.50332127999</v>
      </c>
      <c r="CH53" s="35">
        <f>SUMIF('5 Year Supply Plan'!A:A,'JZ_BRAND SPLITS'!C53,'5 Year Supply Plan'!AV:AV)</f>
        <v>58755</v>
      </c>
      <c r="CI53" s="35">
        <f t="shared" si="41"/>
        <v>40882.208396150483</v>
      </c>
      <c r="CJ53" s="35">
        <f>SUMIF('5 Year Supply Plan'!A:A,'JZ_BRAND SPLITS'!C53,'5 Year Supply Plan'!AW:AW)</f>
        <v>57487</v>
      </c>
      <c r="CK53" s="35">
        <f t="shared" si="42"/>
        <v>39999.923650234072</v>
      </c>
      <c r="CL53" s="35">
        <f>SUMIF('5 Year Supply Plan'!A:A,'JZ_BRAND SPLITS'!C53,'5 Year Supply Plan'!AX:AX)</f>
        <v>51092</v>
      </c>
      <c r="CM53" s="35">
        <f t="shared" si="43"/>
        <v>35550.230471893803</v>
      </c>
      <c r="CN53" s="35">
        <f>SUMIF('5 Year Supply Plan'!A:A,'JZ_BRAND SPLITS'!C53,'5 Year Supply Plan'!AY:AY)</f>
        <v>52393</v>
      </c>
      <c r="CO53" s="35">
        <f t="shared" si="44"/>
        <v>36455.476887065139</v>
      </c>
      <c r="CP53" s="35">
        <f>SUMIF('5 Year Supply Plan'!A:A,'JZ_BRAND SPLITS'!C53,'5 Year Supply Plan'!AZ:AZ)</f>
        <v>61694</v>
      </c>
      <c r="CQ53" s="35">
        <f t="shared" si="45"/>
        <v>42927.188576157059</v>
      </c>
      <c r="CR53" s="35">
        <f>SUMIF('5 Year Supply Plan'!A:A,'JZ_BRAND SPLITS'!C53,'5 Year Supply Plan'!BA:BA)</f>
        <v>52098</v>
      </c>
      <c r="CS53" s="35">
        <f t="shared" si="46"/>
        <v>36250.213480089318</v>
      </c>
      <c r="CT53" s="35">
        <f>SUMIF('5 Year Supply Plan'!A:A,'JZ_BRAND SPLITS'!C53,'5 Year Supply Plan'!BB:BB)</f>
        <v>41059</v>
      </c>
      <c r="CU53" s="35">
        <f t="shared" si="47"/>
        <v>28569.187210238153</v>
      </c>
      <c r="CV53" s="35">
        <f>SUMIF('5 Year Supply Plan'!A:A,'JZ_BRAND SPLITS'!C53,'5 Year Supply Plan'!BC:BC)</f>
        <v>55077</v>
      </c>
      <c r="CW53" s="35">
        <f t="shared" si="48"/>
        <v>38323.025986465494</v>
      </c>
      <c r="CX53" s="35">
        <f>SUMIF('5 Year Supply Plan'!A:A,'JZ_BRAND SPLITS'!C53,'5 Year Supply Plan'!BD:BD)</f>
        <v>53243</v>
      </c>
      <c r="CY53" s="35">
        <f t="shared" si="49"/>
        <v>37046.913822419199</v>
      </c>
      <c r="CZ53" s="35">
        <f>SUMIF('5 Year Supply Plan'!A:A,'JZ_BRAND SPLITS'!C53,'5 Year Supply Plan'!BE:BE)</f>
        <v>51565</v>
      </c>
      <c r="DA53" s="35">
        <f t="shared" si="50"/>
        <v>35879.347731214359</v>
      </c>
      <c r="DB53" s="35">
        <f>SUMIF('5 Year Supply Plan'!A:A,'JZ_BRAND SPLITS'!C53,'5 Year Supply Plan'!BF:BF)</f>
        <v>56643</v>
      </c>
      <c r="DC53" s="35">
        <f t="shared" si="51"/>
        <v>39412.661563835449</v>
      </c>
      <c r="DD53" s="35">
        <f>SUMIF('5 Year Supply Plan'!A:A,'JZ_BRAND SPLITS'!C53,'5 Year Supply Plan'!BG:BG)</f>
        <v>55261</v>
      </c>
      <c r="DE53" s="35">
        <f t="shared" si="52"/>
        <v>38451.054687765667</v>
      </c>
      <c r="DF53" s="35">
        <f>SUMIF('5 Year Supply Plan'!A:A,'JZ_BRAND SPLITS'!C53,'5 Year Supply Plan'!BH:BH)</f>
        <v>62482</v>
      </c>
      <c r="DG53" s="35">
        <f t="shared" si="53"/>
        <v>43475.485405638232</v>
      </c>
      <c r="DH53" s="35">
        <f>SUMIF('5 Year Supply Plan'!A:A,'JZ_BRAND SPLITS'!C53,'5 Year Supply Plan'!BI:BI)</f>
        <v>61149</v>
      </c>
      <c r="DI53" s="35">
        <f t="shared" si="54"/>
        <v>42547.973129371218</v>
      </c>
      <c r="DJ53" s="35">
        <f>SUMIF('5 Year Supply Plan'!A:A,'JZ_BRAND SPLITS'!C53,'5 Year Supply Plan'!BJ:BJ)</f>
        <v>54221</v>
      </c>
      <c r="DK53" s="35">
        <f t="shared" si="55"/>
        <v>37727.414202155989</v>
      </c>
      <c r="DL53" s="35">
        <f>SUMIF('5 Year Supply Plan'!A:A,'JZ_BRAND SPLITS'!C53,'5 Year Supply Plan'!BK:BK)</f>
        <v>54952</v>
      </c>
      <c r="DM53" s="35">
        <f t="shared" si="56"/>
        <v>38236.049966560488</v>
      </c>
      <c r="DN53" s="42">
        <f>SUMIF('5 Year Supply Plan'!A:A,'JZ_BRAND SPLITS'!C53,'5 Year Supply Plan'!BL:BL)</f>
        <v>62681</v>
      </c>
      <c r="DO53" s="35">
        <f t="shared" si="57"/>
        <v>43613.951229327009</v>
      </c>
      <c r="DP53" s="35">
        <f>SUMIF('5 Year Supply Plan'!A:A,'JZ_BRAND SPLITS'!C53,'5 Year Supply Plan'!BM:BM)</f>
        <v>56189.5</v>
      </c>
      <c r="DQ53" s="35">
        <f t="shared" si="58"/>
        <v>39097.112563620074</v>
      </c>
      <c r="DR53" s="35">
        <f>SUMIF('5 Year Supply Plan'!A:A,'JZ_BRAND SPLITS'!C53,'5 Year Supply Plan'!BN:BN)</f>
        <v>56189.5</v>
      </c>
      <c r="DS53" s="35">
        <f t="shared" si="59"/>
        <v>39097.112563620074</v>
      </c>
      <c r="DT53" s="39">
        <f t="shared" si="60"/>
        <v>2032177.3105556655</v>
      </c>
      <c r="DU53" s="36">
        <f>SUMIF('5 Year Supply Plan'!A:A,'JZ_BRAND SPLITS'!C53,'5 Year Supply Plan'!BO:BO)</f>
        <v>2920600.000976</v>
      </c>
    </row>
    <row r="54" spans="1:125" x14ac:dyDescent="0.25">
      <c r="A54" s="40" t="s">
        <v>273</v>
      </c>
      <c r="B54" s="40" t="s">
        <v>257</v>
      </c>
      <c r="C54" s="40" t="s">
        <v>101</v>
      </c>
      <c r="D54" s="40" t="str">
        <f t="shared" si="0"/>
        <v>C12DSUPERTORQUE PLUS</v>
      </c>
      <c r="E54" s="41">
        <v>0.48457643620655294</v>
      </c>
      <c r="F54" s="35">
        <f>SUMIF('5 Year Supply Plan'!A:A,'JZ_BRAND SPLITS'!C54,'5 Year Supply Plan'!H:H)</f>
        <v>272655.75</v>
      </c>
      <c r="G54" s="35">
        <f t="shared" si="1"/>
        <v>132122.55164622483</v>
      </c>
      <c r="H54" s="35">
        <f>SUMIF('5 Year Supply Plan'!A:A,'JZ_BRAND SPLITS'!C54,'5 Year Supply Plan'!I:I)</f>
        <v>347864.875</v>
      </c>
      <c r="I54" s="35">
        <f t="shared" si="2"/>
        <v>168567.12140893802</v>
      </c>
      <c r="J54" s="35">
        <f>SUMIF('5 Year Supply Plan'!A:A,'JZ_BRAND SPLITS'!C54,'5 Year Supply Plan'!J:J)</f>
        <v>289887.375</v>
      </c>
      <c r="K54" s="35">
        <f t="shared" si="3"/>
        <v>140472.59107877259</v>
      </c>
      <c r="L54" s="35">
        <f>SUMIF('5 Year Supply Plan'!A:A,'JZ_BRAND SPLITS'!C54,'5 Year Supply Plan'!K:K)</f>
        <v>213242</v>
      </c>
      <c r="M54" s="35">
        <f t="shared" si="4"/>
        <v>103332.04840955776</v>
      </c>
      <c r="N54" s="35">
        <f>SUMIF('5 Year Supply Plan'!A:A,'JZ_BRAND SPLITS'!C54,'5 Year Supply Plan'!L:L)</f>
        <v>142365</v>
      </c>
      <c r="O54" s="35">
        <f t="shared" si="5"/>
        <v>68986.724340545916</v>
      </c>
      <c r="P54" s="35">
        <f>SUMIF('5 Year Supply Plan'!A:A,'JZ_BRAND SPLITS'!C54,'5 Year Supply Plan'!M:M)</f>
        <v>259108</v>
      </c>
      <c r="Q54" s="35">
        <f t="shared" si="6"/>
        <v>125557.63123260751</v>
      </c>
      <c r="R54" s="35">
        <f>SUMIF('5 Year Supply Plan'!A:A,'JZ_BRAND SPLITS'!C54,'5 Year Supply Plan'!N:N)</f>
        <v>262748</v>
      </c>
      <c r="S54" s="35">
        <f t="shared" si="7"/>
        <v>127321.48946039937</v>
      </c>
      <c r="T54" s="35">
        <f>SUMIF('5 Year Supply Plan'!A:A,'JZ_BRAND SPLITS'!C54,'5 Year Supply Plan'!O:O)</f>
        <v>267131</v>
      </c>
      <c r="U54" s="35">
        <f t="shared" si="8"/>
        <v>129445.3879802927</v>
      </c>
      <c r="V54" s="35">
        <f>SUMIF('5 Year Supply Plan'!A:A,'JZ_BRAND SPLITS'!C54,'5 Year Supply Plan'!P:P)</f>
        <v>261281</v>
      </c>
      <c r="W54" s="35">
        <f t="shared" si="9"/>
        <v>126610.61582848436</v>
      </c>
      <c r="X54" s="35">
        <f>SUMIF('5 Year Supply Plan'!A:A,'JZ_BRAND SPLITS'!C54,'5 Year Supply Plan'!Q:Q)</f>
        <v>235563</v>
      </c>
      <c r="Y54" s="35">
        <f t="shared" si="10"/>
        <v>114148.27904212422</v>
      </c>
      <c r="Z54" s="35">
        <f>SUMIF('5 Year Supply Plan'!A:A,'JZ_BRAND SPLITS'!C54,'5 Year Supply Plan'!R:R)</f>
        <v>225271</v>
      </c>
      <c r="AA54" s="35">
        <f t="shared" si="11"/>
        <v>109161.01836068639</v>
      </c>
      <c r="AB54" s="35">
        <f>SUMIF('5 Year Supply Plan'!A:A,'JZ_BRAND SPLITS'!C54,'5 Year Supply Plan'!S:S)</f>
        <v>267417</v>
      </c>
      <c r="AC54" s="35">
        <f t="shared" si="12"/>
        <v>129583.97684104777</v>
      </c>
      <c r="AD54" s="35">
        <f>SUMIF('5 Year Supply Plan'!A:A,'JZ_BRAND SPLITS'!C54,'5 Year Supply Plan'!T:T)</f>
        <v>262765</v>
      </c>
      <c r="AE54" s="35">
        <f t="shared" si="13"/>
        <v>127329.72725981488</v>
      </c>
      <c r="AF54" s="35">
        <f>SUMIF('5 Year Supply Plan'!A:A,'JZ_BRAND SPLITS'!C54,'5 Year Supply Plan'!U:U)</f>
        <v>249965</v>
      </c>
      <c r="AG54" s="35">
        <f t="shared" si="14"/>
        <v>121127.14887637101</v>
      </c>
      <c r="AH54" s="35">
        <f>SUMIF('5 Year Supply Plan'!A:A,'JZ_BRAND SPLITS'!C54,'5 Year Supply Plan'!V:V)</f>
        <v>273900</v>
      </c>
      <c r="AI54" s="35">
        <f t="shared" si="15"/>
        <v>132725.48587697485</v>
      </c>
      <c r="AJ54" s="35">
        <f>SUMIF('5 Year Supply Plan'!A:A,'JZ_BRAND SPLITS'!C54,'5 Year Supply Plan'!W:W)</f>
        <v>286162</v>
      </c>
      <c r="AK54" s="35">
        <f t="shared" si="16"/>
        <v>138667.3621377396</v>
      </c>
      <c r="AL54" s="35">
        <f>SUMIF('5 Year Supply Plan'!A:A,'JZ_BRAND SPLITS'!C54,'5 Year Supply Plan'!X:X)</f>
        <v>321354</v>
      </c>
      <c r="AM54" s="35">
        <f t="shared" si="17"/>
        <v>155720.57608072061</v>
      </c>
      <c r="AN54" s="35">
        <f>SUMIF('5 Year Supply Plan'!A:A,'JZ_BRAND SPLITS'!C54,'5 Year Supply Plan'!Y:Y)</f>
        <v>296819</v>
      </c>
      <c r="AO54" s="35">
        <f t="shared" si="18"/>
        <v>143831.49321839283</v>
      </c>
      <c r="AP54" s="35">
        <f>SUMIF('5 Year Supply Plan'!A:A,'JZ_BRAND SPLITS'!C54,'5 Year Supply Plan'!Z:Z)</f>
        <v>268018</v>
      </c>
      <c r="AQ54" s="35">
        <f t="shared" si="19"/>
        <v>129875.20727920791</v>
      </c>
      <c r="AR54" s="35">
        <f>SUMIF('5 Year Supply Plan'!A:A,'JZ_BRAND SPLITS'!C54,'5 Year Supply Plan'!AA:AA)</f>
        <v>273239</v>
      </c>
      <c r="AS54" s="35">
        <f t="shared" si="20"/>
        <v>132405.18085264231</v>
      </c>
      <c r="AT54" s="35">
        <f>SUMIF('5 Year Supply Plan'!A:A,'JZ_BRAND SPLITS'!C54,'5 Year Supply Plan'!AB:AB)</f>
        <v>268199</v>
      </c>
      <c r="AU54" s="35">
        <f t="shared" si="21"/>
        <v>129962.91561416129</v>
      </c>
      <c r="AV54" s="35">
        <f>SUMIF('5 Year Supply Plan'!A:A,'JZ_BRAND SPLITS'!C54,'5 Year Supply Plan'!AC:AC)</f>
        <v>240946</v>
      </c>
      <c r="AW54" s="35">
        <f t="shared" si="22"/>
        <v>116756.7539982241</v>
      </c>
      <c r="AX54" s="35">
        <f>SUMIF('5 Year Supply Plan'!A:A,'JZ_BRAND SPLITS'!C54,'5 Year Supply Plan'!AD:AD)</f>
        <v>230318</v>
      </c>
      <c r="AY54" s="35">
        <f t="shared" si="23"/>
        <v>111606.67563422085</v>
      </c>
      <c r="AZ54" s="35">
        <f>SUMIF('5 Year Supply Plan'!A:A,'JZ_BRAND SPLITS'!C54,'5 Year Supply Plan'!AE:AE)</f>
        <v>273429</v>
      </c>
      <c r="BA54" s="35">
        <f t="shared" si="24"/>
        <v>132497.25037552157</v>
      </c>
      <c r="BB54" s="35">
        <f>SUMIF('5 Year Supply Plan'!A:A,'JZ_BRAND SPLITS'!C54,'5 Year Supply Plan'!AF:AF)</f>
        <v>268682</v>
      </c>
      <c r="BC54" s="35">
        <f t="shared" si="25"/>
        <v>130196.96603284906</v>
      </c>
      <c r="BD54" s="35">
        <f>SUMIF('5 Year Supply Plan'!A:A,'JZ_BRAND SPLITS'!C54,'5 Year Supply Plan'!AG:AG)</f>
        <v>255680</v>
      </c>
      <c r="BE54" s="35">
        <f t="shared" si="26"/>
        <v>123896.50320929146</v>
      </c>
      <c r="BF54" s="35">
        <f>SUMIF('5 Year Supply Plan'!A:A,'JZ_BRAND SPLITS'!C54,'5 Year Supply Plan'!AH:AH)</f>
        <v>280032</v>
      </c>
      <c r="BG54" s="35">
        <f t="shared" si="27"/>
        <v>135696.90858379344</v>
      </c>
      <c r="BH54" s="35">
        <f>SUMIF('5 Year Supply Plan'!A:A,'JZ_BRAND SPLITS'!C54,'5 Year Supply Plan'!AI:AI)</f>
        <v>292479</v>
      </c>
      <c r="BI54" s="35">
        <f t="shared" si="28"/>
        <v>141728.43148525638</v>
      </c>
      <c r="BJ54" s="35">
        <f>SUMIF('5 Year Supply Plan'!A:A,'JZ_BRAND SPLITS'!C54,'5 Year Supply Plan'!AJ:AJ)</f>
        <v>328390</v>
      </c>
      <c r="BK54" s="35">
        <f t="shared" si="29"/>
        <v>159130.05588586992</v>
      </c>
      <c r="BL54" s="35">
        <f>SUMIF('5 Year Supply Plan'!A:A,'JZ_BRAND SPLITS'!C54,'5 Year Supply Plan'!AK:AK)</f>
        <v>303409</v>
      </c>
      <c r="BM54" s="35">
        <f t="shared" si="30"/>
        <v>147024.85193299403</v>
      </c>
      <c r="BN54" s="35">
        <f>SUMIF('5 Year Supply Plan'!A:A,'JZ_BRAND SPLITS'!C54,'5 Year Supply Plan'!AL:AL)</f>
        <v>273817</v>
      </c>
      <c r="BO54" s="35">
        <f t="shared" si="31"/>
        <v>132685.26603276969</v>
      </c>
      <c r="BP54" s="35">
        <f>SUMIF('5 Year Supply Plan'!A:A,'JZ_BRAND SPLITS'!C54,'5 Year Supply Plan'!AM:AM)</f>
        <v>277909</v>
      </c>
      <c r="BQ54" s="35">
        <f t="shared" si="32"/>
        <v>134668.15280972692</v>
      </c>
      <c r="BR54" s="35">
        <f>SUMIF('5 Year Supply Plan'!A:A,'JZ_BRAND SPLITS'!C54,'5 Year Supply Plan'!AN:AN)</f>
        <v>270924</v>
      </c>
      <c r="BS54" s="35">
        <f t="shared" si="33"/>
        <v>131283.38640282414</v>
      </c>
      <c r="BT54" s="35">
        <f>SUMIF('5 Year Supply Plan'!A:A,'JZ_BRAND SPLITS'!C54,'5 Year Supply Plan'!AO:AO)</f>
        <v>242486</v>
      </c>
      <c r="BU54" s="35">
        <f t="shared" si="34"/>
        <v>117503.0017099822</v>
      </c>
      <c r="BV54" s="35">
        <f>SUMIF('5 Year Supply Plan'!A:A,'JZ_BRAND SPLITS'!C54,'5 Year Supply Plan'!AP:AP)</f>
        <v>231946</v>
      </c>
      <c r="BW54" s="35">
        <f t="shared" si="35"/>
        <v>112395.56607236512</v>
      </c>
      <c r="BX54" s="35">
        <f>SUMIF('5 Year Supply Plan'!A:A,'JZ_BRAND SPLITS'!C54,'5 Year Supply Plan'!AQ:AQ)</f>
        <v>276074</v>
      </c>
      <c r="BY54" s="35">
        <f t="shared" si="36"/>
        <v>133778.95504928791</v>
      </c>
      <c r="BZ54" s="35">
        <f>SUMIF('5 Year Supply Plan'!A:A,'JZ_BRAND SPLITS'!C54,'5 Year Supply Plan'!AR:AR)</f>
        <v>270915</v>
      </c>
      <c r="CA54" s="35">
        <f t="shared" si="37"/>
        <v>131279.02521489828</v>
      </c>
      <c r="CB54" s="35">
        <f>SUMIF('5 Year Supply Plan'!A:A,'JZ_BRAND SPLITS'!C54,'5 Year Supply Plan'!AS:AS)</f>
        <v>258298</v>
      </c>
      <c r="CC54" s="35">
        <f t="shared" si="38"/>
        <v>125165.12431928021</v>
      </c>
      <c r="CD54" s="35">
        <f>SUMIF('5 Year Supply Plan'!A:A,'JZ_BRAND SPLITS'!C54,'5 Year Supply Plan'!AT:AT)</f>
        <v>282630</v>
      </c>
      <c r="CE54" s="35">
        <f t="shared" si="39"/>
        <v>136955.83816505806</v>
      </c>
      <c r="CF54" s="35">
        <f>SUMIF('5 Year Supply Plan'!A:A,'JZ_BRAND SPLITS'!C54,'5 Year Supply Plan'!AU:AU)</f>
        <v>296002</v>
      </c>
      <c r="CG54" s="35">
        <f t="shared" si="40"/>
        <v>143435.59427001208</v>
      </c>
      <c r="CH54" s="35">
        <f>SUMIF('5 Year Supply Plan'!A:A,'JZ_BRAND SPLITS'!C54,'5 Year Supply Plan'!AV:AV)</f>
        <v>333041</v>
      </c>
      <c r="CI54" s="35">
        <f t="shared" si="41"/>
        <v>161383.8208906666</v>
      </c>
      <c r="CJ54" s="35">
        <f>SUMIF('5 Year Supply Plan'!A:A,'JZ_BRAND SPLITS'!C54,'5 Year Supply Plan'!AW:AW)</f>
        <v>307502</v>
      </c>
      <c r="CK54" s="35">
        <f t="shared" si="42"/>
        <v>149008.22328638745</v>
      </c>
      <c r="CL54" s="35">
        <f>SUMIF('5 Year Supply Plan'!A:A,'JZ_BRAND SPLITS'!C54,'5 Year Supply Plan'!AX:AX)</f>
        <v>277173</v>
      </c>
      <c r="CM54" s="35">
        <f t="shared" si="43"/>
        <v>134311.5045526789</v>
      </c>
      <c r="CN54" s="35">
        <f>SUMIF('5 Year Supply Plan'!A:A,'JZ_BRAND SPLITS'!C54,'5 Year Supply Plan'!AY:AY)</f>
        <v>279507</v>
      </c>
      <c r="CO54" s="35">
        <f t="shared" si="44"/>
        <v>135442.50595478498</v>
      </c>
      <c r="CP54" s="35">
        <f>SUMIF('5 Year Supply Plan'!A:A,'JZ_BRAND SPLITS'!C54,'5 Year Supply Plan'!AZ:AZ)</f>
        <v>270460</v>
      </c>
      <c r="CQ54" s="35">
        <f t="shared" si="45"/>
        <v>131058.5429364243</v>
      </c>
      <c r="CR54" s="35">
        <f>SUMIF('5 Year Supply Plan'!A:A,'JZ_BRAND SPLITS'!C54,'5 Year Supply Plan'!BA:BA)</f>
        <v>239963</v>
      </c>
      <c r="CS54" s="35">
        <f t="shared" si="46"/>
        <v>116280.41536143306</v>
      </c>
      <c r="CT54" s="35">
        <f>SUMIF('5 Year Supply Plan'!A:A,'JZ_BRAND SPLITS'!C54,'5 Year Supply Plan'!BB:BB)</f>
        <v>229908</v>
      </c>
      <c r="CU54" s="35">
        <f t="shared" si="47"/>
        <v>111407.99929537617</v>
      </c>
      <c r="CV54" s="35">
        <f>SUMIF('5 Year Supply Plan'!A:A,'JZ_BRAND SPLITS'!C54,'5 Year Supply Plan'!BC:BC)</f>
        <v>275018</v>
      </c>
      <c r="CW54" s="35">
        <f t="shared" si="48"/>
        <v>133267.24233265378</v>
      </c>
      <c r="CX54" s="35">
        <f>SUMIF('5 Year Supply Plan'!A:A,'JZ_BRAND SPLITS'!C54,'5 Year Supply Plan'!BD:BD)</f>
        <v>269247</v>
      </c>
      <c r="CY54" s="35">
        <f t="shared" si="49"/>
        <v>130470.75171930576</v>
      </c>
      <c r="CZ54" s="35">
        <f>SUMIF('5 Year Supply Plan'!A:A,'JZ_BRAND SPLITS'!C54,'5 Year Supply Plan'!BE:BE)</f>
        <v>258031</v>
      </c>
      <c r="DA54" s="35">
        <f t="shared" si="50"/>
        <v>125035.74241081307</v>
      </c>
      <c r="DB54" s="35">
        <f>SUMIF('5 Year Supply Plan'!A:A,'JZ_BRAND SPLITS'!C54,'5 Year Supply Plan'!BF:BF)</f>
        <v>281553</v>
      </c>
      <c r="DC54" s="35">
        <f t="shared" si="51"/>
        <v>136433.94934326361</v>
      </c>
      <c r="DD54" s="35">
        <f>SUMIF('5 Year Supply Plan'!A:A,'JZ_BRAND SPLITS'!C54,'5 Year Supply Plan'!BG:BG)</f>
        <v>296398</v>
      </c>
      <c r="DE54" s="35">
        <f t="shared" si="52"/>
        <v>143627.48653874989</v>
      </c>
      <c r="DF54" s="35">
        <f>SUMIF('5 Year Supply Plan'!A:A,'JZ_BRAND SPLITS'!C54,'5 Year Supply Plan'!BH:BH)</f>
        <v>335247</v>
      </c>
      <c r="DG54" s="35">
        <f t="shared" si="53"/>
        <v>162452.79650893825</v>
      </c>
      <c r="DH54" s="35">
        <f>SUMIF('5 Year Supply Plan'!A:A,'JZ_BRAND SPLITS'!C54,'5 Year Supply Plan'!BI:BI)</f>
        <v>318415</v>
      </c>
      <c r="DI54" s="35">
        <f t="shared" si="54"/>
        <v>154296.40593470956</v>
      </c>
      <c r="DJ54" s="35">
        <f>SUMIF('5 Year Supply Plan'!A:A,'JZ_BRAND SPLITS'!C54,'5 Year Supply Plan'!BJ:BJ)</f>
        <v>300240</v>
      </c>
      <c r="DK54" s="35">
        <f t="shared" si="55"/>
        <v>145489.22920665547</v>
      </c>
      <c r="DL54" s="35">
        <f>SUMIF('5 Year Supply Plan'!A:A,'JZ_BRAND SPLITS'!C54,'5 Year Supply Plan'!BK:BK)</f>
        <v>307169</v>
      </c>
      <c r="DM54" s="35">
        <f t="shared" si="56"/>
        <v>148846.85933313065</v>
      </c>
      <c r="DN54" s="42">
        <f>SUMIF('5 Year Supply Plan'!A:A,'JZ_BRAND SPLITS'!C54,'5 Year Supply Plan'!BL:BL)</f>
        <v>318606</v>
      </c>
      <c r="DO54" s="35">
        <f t="shared" si="57"/>
        <v>154388.96003402502</v>
      </c>
      <c r="DP54" s="35">
        <f>SUMIF('5 Year Supply Plan'!A:A,'JZ_BRAND SPLITS'!C54,'5 Year Supply Plan'!BM:BM)</f>
        <v>295787.5</v>
      </c>
      <c r="DQ54" s="35">
        <f t="shared" si="58"/>
        <v>143331.65262444576</v>
      </c>
      <c r="DR54" s="35">
        <f>SUMIF('5 Year Supply Plan'!A:A,'JZ_BRAND SPLITS'!C54,'5 Year Supply Plan'!BN:BN)</f>
        <v>295787.5</v>
      </c>
      <c r="DS54" s="35">
        <f t="shared" si="59"/>
        <v>143331.65262444576</v>
      </c>
      <c r="DT54" s="39">
        <f t="shared" si="60"/>
        <v>7844504.5808988186</v>
      </c>
      <c r="DU54" s="36">
        <f>SUMIF('5 Year Supply Plan'!A:A,'JZ_BRAND SPLITS'!C54,'5 Year Supply Plan'!BO:BO)</f>
        <v>16188374</v>
      </c>
    </row>
    <row r="55" spans="1:125" x14ac:dyDescent="0.25">
      <c r="A55" s="40" t="s">
        <v>274</v>
      </c>
      <c r="B55" s="40" t="s">
        <v>275</v>
      </c>
      <c r="C55" s="40" t="s">
        <v>67</v>
      </c>
      <c r="D55" s="40" t="str">
        <f t="shared" si="0"/>
        <v>E00AADROIT</v>
      </c>
      <c r="E55" s="41">
        <v>3.7512147716229362E-3</v>
      </c>
      <c r="F55" s="35">
        <f>SUMIF('5 Year Supply Plan'!A:A,'JZ_BRAND SPLITS'!C55,'5 Year Supply Plan'!H:H)</f>
        <v>15865</v>
      </c>
      <c r="G55" s="35">
        <f t="shared" si="1"/>
        <v>59.513022351797886</v>
      </c>
      <c r="H55" s="35">
        <f>SUMIF('5 Year Supply Plan'!A:A,'JZ_BRAND SPLITS'!C55,'5 Year Supply Plan'!I:I)</f>
        <v>18240</v>
      </c>
      <c r="I55" s="35">
        <f t="shared" si="2"/>
        <v>68.422157434402351</v>
      </c>
      <c r="J55" s="35">
        <f>SUMIF('5 Year Supply Plan'!A:A,'JZ_BRAND SPLITS'!C55,'5 Year Supply Plan'!J:J)</f>
        <v>15200</v>
      </c>
      <c r="K55" s="35">
        <f t="shared" si="3"/>
        <v>57.01846452866863</v>
      </c>
      <c r="L55" s="35">
        <f>SUMIF('5 Year Supply Plan'!A:A,'JZ_BRAND SPLITS'!C55,'5 Year Supply Plan'!K:K)</f>
        <v>9000</v>
      </c>
      <c r="M55" s="35">
        <f t="shared" si="4"/>
        <v>33.760932944606424</v>
      </c>
      <c r="N55" s="35">
        <f>SUMIF('5 Year Supply Plan'!A:A,'JZ_BRAND SPLITS'!C55,'5 Year Supply Plan'!L:L)</f>
        <v>5000</v>
      </c>
      <c r="O55" s="35">
        <f t="shared" si="5"/>
        <v>18.756073858114682</v>
      </c>
      <c r="P55" s="35">
        <f>SUMIF('5 Year Supply Plan'!A:A,'JZ_BRAND SPLITS'!C55,'5 Year Supply Plan'!M:M)</f>
        <v>8300</v>
      </c>
      <c r="Q55" s="35">
        <f t="shared" si="6"/>
        <v>31.135082604470369</v>
      </c>
      <c r="R55" s="35">
        <f>SUMIF('5 Year Supply Plan'!A:A,'JZ_BRAND SPLITS'!C55,'5 Year Supply Plan'!N:N)</f>
        <v>8800</v>
      </c>
      <c r="S55" s="35">
        <f t="shared" si="7"/>
        <v>33.01068999028184</v>
      </c>
      <c r="T55" s="35">
        <f>SUMIF('5 Year Supply Plan'!A:A,'JZ_BRAND SPLITS'!C55,'5 Year Supply Plan'!O:O)</f>
        <v>8800</v>
      </c>
      <c r="U55" s="35">
        <f t="shared" si="8"/>
        <v>33.01068999028184</v>
      </c>
      <c r="V55" s="35">
        <f>SUMIF('5 Year Supply Plan'!A:A,'JZ_BRAND SPLITS'!C55,'5 Year Supply Plan'!P:P)</f>
        <v>8800</v>
      </c>
      <c r="W55" s="35">
        <f t="shared" si="9"/>
        <v>33.01068999028184</v>
      </c>
      <c r="X55" s="35">
        <f>SUMIF('5 Year Supply Plan'!A:A,'JZ_BRAND SPLITS'!C55,'5 Year Supply Plan'!Q:Q)</f>
        <v>8800</v>
      </c>
      <c r="Y55" s="35">
        <f t="shared" si="10"/>
        <v>33.01068999028184</v>
      </c>
      <c r="Z55" s="35">
        <f>SUMIF('5 Year Supply Plan'!A:A,'JZ_BRAND SPLITS'!C55,'5 Year Supply Plan'!R:R)</f>
        <v>9000</v>
      </c>
      <c r="AA55" s="35">
        <f t="shared" si="11"/>
        <v>33.760932944606424</v>
      </c>
      <c r="AB55" s="35">
        <f>SUMIF('5 Year Supply Plan'!A:A,'JZ_BRAND SPLITS'!C55,'5 Year Supply Plan'!S:S)</f>
        <v>11721</v>
      </c>
      <c r="AC55" s="35">
        <f t="shared" si="12"/>
        <v>43.967988338192434</v>
      </c>
      <c r="AD55" s="35">
        <f>SUMIF('5 Year Supply Plan'!A:A,'JZ_BRAND SPLITS'!C55,'5 Year Supply Plan'!T:T)</f>
        <v>11524</v>
      </c>
      <c r="AE55" s="35">
        <f t="shared" si="13"/>
        <v>43.22899902818272</v>
      </c>
      <c r="AF55" s="35">
        <f>SUMIF('5 Year Supply Plan'!A:A,'JZ_BRAND SPLITS'!C55,'5 Year Supply Plan'!U:U)</f>
        <v>9955</v>
      </c>
      <c r="AG55" s="35">
        <f t="shared" si="14"/>
        <v>37.343343051506331</v>
      </c>
      <c r="AH55" s="35">
        <f>SUMIF('5 Year Supply Plan'!A:A,'JZ_BRAND SPLITS'!C55,'5 Year Supply Plan'!V:V)</f>
        <v>11390</v>
      </c>
      <c r="AI55" s="35">
        <f t="shared" si="15"/>
        <v>42.726336248785245</v>
      </c>
      <c r="AJ55" s="35">
        <f>SUMIF('5 Year Supply Plan'!A:A,'JZ_BRAND SPLITS'!C55,'5 Year Supply Plan'!W:W)</f>
        <v>10564</v>
      </c>
      <c r="AK55" s="35">
        <f t="shared" si="16"/>
        <v>39.627832847424699</v>
      </c>
      <c r="AL55" s="35">
        <f>SUMIF('5 Year Supply Plan'!A:A,'JZ_BRAND SPLITS'!C55,'5 Year Supply Plan'!X:X)</f>
        <v>9420</v>
      </c>
      <c r="AM55" s="35">
        <f t="shared" si="17"/>
        <v>35.336443148688062</v>
      </c>
      <c r="AN55" s="35">
        <f>SUMIF('5 Year Supply Plan'!A:A,'JZ_BRAND SPLITS'!C55,'5 Year Supply Plan'!Y:Y)</f>
        <v>7975</v>
      </c>
      <c r="AO55" s="35">
        <f t="shared" si="18"/>
        <v>29.915937803692916</v>
      </c>
      <c r="AP55" s="35">
        <f>SUMIF('5 Year Supply Plan'!A:A,'JZ_BRAND SPLITS'!C55,'5 Year Supply Plan'!Z:Z)</f>
        <v>8515</v>
      </c>
      <c r="AQ55" s="35">
        <f t="shared" si="19"/>
        <v>31.941593780369303</v>
      </c>
      <c r="AR55" s="35">
        <f>SUMIF('5 Year Supply Plan'!A:A,'JZ_BRAND SPLITS'!C55,'5 Year Supply Plan'!AA:AA)</f>
        <v>10132</v>
      </c>
      <c r="AS55" s="35">
        <f t="shared" si="20"/>
        <v>38.007308066083588</v>
      </c>
      <c r="AT55" s="35">
        <f>SUMIF('5 Year Supply Plan'!A:A,'JZ_BRAND SPLITS'!C55,'5 Year Supply Plan'!AB:AB)</f>
        <v>11221</v>
      </c>
      <c r="AU55" s="35">
        <f t="shared" si="21"/>
        <v>42.092380952380971</v>
      </c>
      <c r="AV55" s="35">
        <f>SUMIF('5 Year Supply Plan'!A:A,'JZ_BRAND SPLITS'!C55,'5 Year Supply Plan'!AC:AC)</f>
        <v>11193</v>
      </c>
      <c r="AW55" s="35">
        <f t="shared" si="22"/>
        <v>41.987346938775524</v>
      </c>
      <c r="AX55" s="35">
        <f>SUMIF('5 Year Supply Plan'!A:A,'JZ_BRAND SPLITS'!C55,'5 Year Supply Plan'!AD:AD)</f>
        <v>10339</v>
      </c>
      <c r="AY55" s="35">
        <f t="shared" si="23"/>
        <v>38.783809523809538</v>
      </c>
      <c r="AZ55" s="35">
        <f>SUMIF('5 Year Supply Plan'!A:A,'JZ_BRAND SPLITS'!C55,'5 Year Supply Plan'!AE:AE)</f>
        <v>12108</v>
      </c>
      <c r="BA55" s="35">
        <f t="shared" si="24"/>
        <v>45.419708454810511</v>
      </c>
      <c r="BB55" s="35">
        <f>SUMIF('5 Year Supply Plan'!A:A,'JZ_BRAND SPLITS'!C55,'5 Year Supply Plan'!AF:AF)</f>
        <v>11898</v>
      </c>
      <c r="BC55" s="35">
        <f t="shared" si="25"/>
        <v>44.631953352769692</v>
      </c>
      <c r="BD55" s="35">
        <f>SUMIF('5 Year Supply Plan'!A:A,'JZ_BRAND SPLITS'!C55,'5 Year Supply Plan'!AG:AG)</f>
        <v>10265</v>
      </c>
      <c r="BE55" s="35">
        <f t="shared" si="26"/>
        <v>38.506219630709438</v>
      </c>
      <c r="BF55" s="35">
        <f>SUMIF('5 Year Supply Plan'!A:A,'JZ_BRAND SPLITS'!C55,'5 Year Supply Plan'!AH:AH)</f>
        <v>11759</v>
      </c>
      <c r="BG55" s="35">
        <f t="shared" si="27"/>
        <v>44.11053449951411</v>
      </c>
      <c r="BH55" s="35">
        <f>SUMIF('5 Year Supply Plan'!A:A,'JZ_BRAND SPLITS'!C55,'5 Year Supply Plan'!AI:AI)</f>
        <v>10992</v>
      </c>
      <c r="BI55" s="35">
        <f t="shared" si="28"/>
        <v>41.233352769679314</v>
      </c>
      <c r="BJ55" s="35">
        <f>SUMIF('5 Year Supply Plan'!A:A,'JZ_BRAND SPLITS'!C55,'5 Year Supply Plan'!AJ:AJ)</f>
        <v>9912</v>
      </c>
      <c r="BK55" s="35">
        <f t="shared" si="29"/>
        <v>37.182040816326541</v>
      </c>
      <c r="BL55" s="35">
        <f>SUMIF('5 Year Supply Plan'!A:A,'JZ_BRAND SPLITS'!C55,'5 Year Supply Plan'!AK:AK)</f>
        <v>8446</v>
      </c>
      <c r="BM55" s="35">
        <f t="shared" si="30"/>
        <v>31.682759961127321</v>
      </c>
      <c r="BN55" s="35">
        <f>SUMIF('5 Year Supply Plan'!A:A,'JZ_BRAND SPLITS'!C55,'5 Year Supply Plan'!AL:AL)</f>
        <v>8991</v>
      </c>
      <c r="BO55" s="35">
        <f t="shared" si="31"/>
        <v>33.727172011661821</v>
      </c>
      <c r="BP55" s="35">
        <f>SUMIF('5 Year Supply Plan'!A:A,'JZ_BRAND SPLITS'!C55,'5 Year Supply Plan'!AM:AM)</f>
        <v>10629</v>
      </c>
      <c r="BQ55" s="35">
        <f t="shared" si="32"/>
        <v>39.871661807580189</v>
      </c>
      <c r="BR55" s="35">
        <f>SUMIF('5 Year Supply Plan'!A:A,'JZ_BRAND SPLITS'!C55,'5 Year Supply Plan'!AN:AN)</f>
        <v>11714</v>
      </c>
      <c r="BS55" s="35">
        <f t="shared" si="33"/>
        <v>43.941729834791076</v>
      </c>
      <c r="BT55" s="35">
        <f>SUMIF('5 Year Supply Plan'!A:A,'JZ_BRAND SPLITS'!C55,'5 Year Supply Plan'!AO:AO)</f>
        <v>11687</v>
      </c>
      <c r="BU55" s="35">
        <f t="shared" si="34"/>
        <v>43.840447035957254</v>
      </c>
      <c r="BV55" s="35">
        <f>SUMIF('5 Year Supply Plan'!A:A,'JZ_BRAND SPLITS'!C55,'5 Year Supply Plan'!AP:AP)</f>
        <v>10807</v>
      </c>
      <c r="BW55" s="35">
        <f t="shared" si="35"/>
        <v>40.539378036929072</v>
      </c>
      <c r="BX55" s="35">
        <f>SUMIF('5 Year Supply Plan'!A:A,'JZ_BRAND SPLITS'!C55,'5 Year Supply Plan'!AQ:AQ)</f>
        <v>12665</v>
      </c>
      <c r="BY55" s="35">
        <f t="shared" si="36"/>
        <v>47.509135082604487</v>
      </c>
      <c r="BZ55" s="35">
        <f>SUMIF('5 Year Supply Plan'!A:A,'JZ_BRAND SPLITS'!C55,'5 Year Supply Plan'!AR:AR)</f>
        <v>12450</v>
      </c>
      <c r="CA55" s="35">
        <f t="shared" si="37"/>
        <v>46.702623906705554</v>
      </c>
      <c r="CB55" s="35">
        <f>SUMIF('5 Year Supply Plan'!A:A,'JZ_BRAND SPLITS'!C55,'5 Year Supply Plan'!AS:AS)</f>
        <v>10731</v>
      </c>
      <c r="CC55" s="35">
        <f t="shared" si="38"/>
        <v>40.254285714285729</v>
      </c>
      <c r="CD55" s="35">
        <f>SUMIF('5 Year Supply Plan'!A:A,'JZ_BRAND SPLITS'!C55,'5 Year Supply Plan'!AT:AT)</f>
        <v>12304</v>
      </c>
      <c r="CE55" s="35">
        <f t="shared" si="39"/>
        <v>46.154946550048606</v>
      </c>
      <c r="CF55" s="35">
        <f>SUMIF('5 Year Supply Plan'!A:A,'JZ_BRAND SPLITS'!C55,'5 Year Supply Plan'!AU:AU)</f>
        <v>11569</v>
      </c>
      <c r="CG55" s="35">
        <f t="shared" si="40"/>
        <v>43.397803692905747</v>
      </c>
      <c r="CH55" s="35">
        <f>SUMIF('5 Year Supply Plan'!A:A,'JZ_BRAND SPLITS'!C55,'5 Year Supply Plan'!AV:AV)</f>
        <v>10529</v>
      </c>
      <c r="CI55" s="35">
        <f t="shared" si="41"/>
        <v>39.496540330417893</v>
      </c>
      <c r="CJ55" s="35">
        <f>SUMIF('5 Year Supply Plan'!A:A,'JZ_BRAND SPLITS'!C55,'5 Year Supply Plan'!AW:AW)</f>
        <v>9058</v>
      </c>
      <c r="CK55" s="35">
        <f t="shared" si="42"/>
        <v>33.978503401360555</v>
      </c>
      <c r="CL55" s="35">
        <f>SUMIF('5 Year Supply Plan'!A:A,'JZ_BRAND SPLITS'!C55,'5 Year Supply Plan'!AX:AX)</f>
        <v>9521</v>
      </c>
      <c r="CM55" s="35">
        <f t="shared" si="43"/>
        <v>35.715315840621976</v>
      </c>
      <c r="CN55" s="35">
        <f>SUMIF('5 Year Supply Plan'!A:A,'JZ_BRAND SPLITS'!C55,'5 Year Supply Plan'!AY:AY)</f>
        <v>11051</v>
      </c>
      <c r="CO55" s="35">
        <f t="shared" si="44"/>
        <v>41.454674441205071</v>
      </c>
      <c r="CP55" s="35">
        <f>SUMIF('5 Year Supply Plan'!A:A,'JZ_BRAND SPLITS'!C55,'5 Year Supply Plan'!AZ:AZ)</f>
        <v>12074</v>
      </c>
      <c r="CQ55" s="35">
        <f t="shared" si="45"/>
        <v>45.292167152575331</v>
      </c>
      <c r="CR55" s="35">
        <f>SUMIF('5 Year Supply Plan'!A:A,'JZ_BRAND SPLITS'!C55,'5 Year Supply Plan'!BA:BA)</f>
        <v>12041</v>
      </c>
      <c r="CS55" s="35">
        <f t="shared" si="46"/>
        <v>45.168377065111777</v>
      </c>
      <c r="CT55" s="35">
        <f>SUMIF('5 Year Supply Plan'!A:A,'JZ_BRAND SPLITS'!C55,'5 Year Supply Plan'!BB:BB)</f>
        <v>11144</v>
      </c>
      <c r="CU55" s="35">
        <f t="shared" si="47"/>
        <v>41.803537414966002</v>
      </c>
      <c r="CV55" s="35">
        <f>SUMIF('5 Year Supply Plan'!A:A,'JZ_BRAND SPLITS'!C55,'5 Year Supply Plan'!BC:BC)</f>
        <v>13080</v>
      </c>
      <c r="CW55" s="35">
        <f t="shared" si="48"/>
        <v>49.065889212828004</v>
      </c>
      <c r="CX55" s="35">
        <f>SUMIF('5 Year Supply Plan'!A:A,'JZ_BRAND SPLITS'!C55,'5 Year Supply Plan'!BD:BD)</f>
        <v>12857</v>
      </c>
      <c r="CY55" s="35">
        <f t="shared" si="49"/>
        <v>48.229368318756094</v>
      </c>
      <c r="CZ55" s="35">
        <f>SUMIF('5 Year Supply Plan'!A:A,'JZ_BRAND SPLITS'!C55,'5 Year Supply Plan'!BE:BE)</f>
        <v>11068</v>
      </c>
      <c r="DA55" s="35">
        <f t="shared" si="50"/>
        <v>41.518445092322658</v>
      </c>
      <c r="DB55" s="35">
        <f>SUMIF('5 Year Supply Plan'!A:A,'JZ_BRAND SPLITS'!C55,'5 Year Supply Plan'!BF:BF)</f>
        <v>12704</v>
      </c>
      <c r="DC55" s="35">
        <f t="shared" si="51"/>
        <v>47.655432458697781</v>
      </c>
      <c r="DD55" s="35">
        <f>SUMIF('5 Year Supply Plan'!A:A,'JZ_BRAND SPLITS'!C55,'5 Year Supply Plan'!BG:BG)</f>
        <v>12009</v>
      </c>
      <c r="DE55" s="35">
        <f t="shared" si="52"/>
        <v>45.048338192419841</v>
      </c>
      <c r="DF55" s="35">
        <f>SUMIF('5 Year Supply Plan'!A:A,'JZ_BRAND SPLITS'!C55,'5 Year Supply Plan'!BH:BH)</f>
        <v>11247</v>
      </c>
      <c r="DG55" s="35">
        <f t="shared" si="53"/>
        <v>42.189912536443167</v>
      </c>
      <c r="DH55" s="35">
        <f>SUMIF('5 Year Supply Plan'!A:A,'JZ_BRAND SPLITS'!C55,'5 Year Supply Plan'!BI:BI)</f>
        <v>10155</v>
      </c>
      <c r="DI55" s="35">
        <f t="shared" si="54"/>
        <v>38.093586005830915</v>
      </c>
      <c r="DJ55" s="35">
        <f>SUMIF('5 Year Supply Plan'!A:A,'JZ_BRAND SPLITS'!C55,'5 Year Supply Plan'!BJ:BJ)</f>
        <v>10566</v>
      </c>
      <c r="DK55" s="35">
        <f t="shared" si="55"/>
        <v>39.635335276967943</v>
      </c>
      <c r="DL55" s="35">
        <f>SUMIF('5 Year Supply Plan'!A:A,'JZ_BRAND SPLITS'!C55,'5 Year Supply Plan'!BK:BK)</f>
        <v>12320</v>
      </c>
      <c r="DM55" s="35">
        <f t="shared" si="56"/>
        <v>46.214965986394574</v>
      </c>
      <c r="DN55" s="42">
        <f>SUMIF('5 Year Supply Plan'!A:A,'JZ_BRAND SPLITS'!C55,'5 Year Supply Plan'!BL:BL)</f>
        <v>13890</v>
      </c>
      <c r="DO55" s="35">
        <f t="shared" si="57"/>
        <v>52.104373177842582</v>
      </c>
      <c r="DP55" s="35">
        <f>SUMIF('5 Year Supply Plan'!A:A,'JZ_BRAND SPLITS'!C55,'5 Year Supply Plan'!BM:BM)</f>
        <v>11615.75</v>
      </c>
      <c r="DQ55" s="35">
        <f t="shared" si="58"/>
        <v>43.573172983479118</v>
      </c>
      <c r="DR55" s="35">
        <f>SUMIF('5 Year Supply Plan'!A:A,'JZ_BRAND SPLITS'!C55,'5 Year Supply Plan'!BN:BN)</f>
        <v>11615.75</v>
      </c>
      <c r="DS55" s="35">
        <f t="shared" si="59"/>
        <v>43.573172983479118</v>
      </c>
      <c r="DT55" s="39">
        <f t="shared" si="60"/>
        <v>2427.8856073858119</v>
      </c>
      <c r="DU55" s="36">
        <f>SUMIF('5 Year Supply Plan'!A:A,'JZ_BRAND SPLITS'!C55,'5 Year Supply Plan'!BO:BO)</f>
        <v>647226.5</v>
      </c>
    </row>
    <row r="56" spans="1:125" x14ac:dyDescent="0.25">
      <c r="A56" s="40" t="s">
        <v>276</v>
      </c>
      <c r="B56" s="40" t="s">
        <v>275</v>
      </c>
      <c r="C56" s="40" t="s">
        <v>67</v>
      </c>
      <c r="D56" s="40" t="str">
        <f t="shared" si="0"/>
        <v>E00BADROIT</v>
      </c>
      <c r="E56" s="41">
        <v>0.99624878522837668</v>
      </c>
      <c r="F56" s="35">
        <f>SUMIF('5 Year Supply Plan'!A:A,'JZ_BRAND SPLITS'!C56,'5 Year Supply Plan'!H:H)</f>
        <v>15865</v>
      </c>
      <c r="G56" s="35">
        <f t="shared" si="1"/>
        <v>15805.486977648196</v>
      </c>
      <c r="H56" s="35">
        <f>SUMIF('5 Year Supply Plan'!A:A,'JZ_BRAND SPLITS'!C56,'5 Year Supply Plan'!I:I)</f>
        <v>18240</v>
      </c>
      <c r="I56" s="35">
        <f t="shared" si="2"/>
        <v>18171.577842565592</v>
      </c>
      <c r="J56" s="35">
        <f>SUMIF('5 Year Supply Plan'!A:A,'JZ_BRAND SPLITS'!C56,'5 Year Supply Plan'!J:J)</f>
        <v>15200</v>
      </c>
      <c r="K56" s="35">
        <f t="shared" si="3"/>
        <v>15142.981535471325</v>
      </c>
      <c r="L56" s="35">
        <f>SUMIF('5 Year Supply Plan'!A:A,'JZ_BRAND SPLITS'!C56,'5 Year Supply Plan'!K:K)</f>
        <v>9000</v>
      </c>
      <c r="M56" s="35">
        <f t="shared" si="4"/>
        <v>8966.2390670553905</v>
      </c>
      <c r="N56" s="35">
        <f>SUMIF('5 Year Supply Plan'!A:A,'JZ_BRAND SPLITS'!C56,'5 Year Supply Plan'!L:L)</f>
        <v>5000</v>
      </c>
      <c r="O56" s="35">
        <f t="shared" si="5"/>
        <v>4981.2439261418831</v>
      </c>
      <c r="P56" s="35">
        <f>SUMIF('5 Year Supply Plan'!A:A,'JZ_BRAND SPLITS'!C56,'5 Year Supply Plan'!M:M)</f>
        <v>8300</v>
      </c>
      <c r="Q56" s="35">
        <f t="shared" si="6"/>
        <v>8268.8649173955273</v>
      </c>
      <c r="R56" s="35">
        <f>SUMIF('5 Year Supply Plan'!A:A,'JZ_BRAND SPLITS'!C56,'5 Year Supply Plan'!N:N)</f>
        <v>8800</v>
      </c>
      <c r="S56" s="35">
        <f t="shared" si="7"/>
        <v>8766.9893100097142</v>
      </c>
      <c r="T56" s="35">
        <f>SUMIF('5 Year Supply Plan'!A:A,'JZ_BRAND SPLITS'!C56,'5 Year Supply Plan'!O:O)</f>
        <v>8800</v>
      </c>
      <c r="U56" s="35">
        <f t="shared" si="8"/>
        <v>8766.9893100097142</v>
      </c>
      <c r="V56" s="35">
        <f>SUMIF('5 Year Supply Plan'!A:A,'JZ_BRAND SPLITS'!C56,'5 Year Supply Plan'!P:P)</f>
        <v>8800</v>
      </c>
      <c r="W56" s="35">
        <f t="shared" si="9"/>
        <v>8766.9893100097142</v>
      </c>
      <c r="X56" s="35">
        <f>SUMIF('5 Year Supply Plan'!A:A,'JZ_BRAND SPLITS'!C56,'5 Year Supply Plan'!Q:Q)</f>
        <v>8800</v>
      </c>
      <c r="Y56" s="35">
        <f t="shared" si="10"/>
        <v>8766.9893100097142</v>
      </c>
      <c r="Z56" s="35">
        <f>SUMIF('5 Year Supply Plan'!A:A,'JZ_BRAND SPLITS'!C56,'5 Year Supply Plan'!R:R)</f>
        <v>9000</v>
      </c>
      <c r="AA56" s="35">
        <f t="shared" si="11"/>
        <v>8966.2390670553905</v>
      </c>
      <c r="AB56" s="35">
        <f>SUMIF('5 Year Supply Plan'!A:A,'JZ_BRAND SPLITS'!C56,'5 Year Supply Plan'!S:S)</f>
        <v>11721</v>
      </c>
      <c r="AC56" s="35">
        <f t="shared" si="12"/>
        <v>11677.032011661802</v>
      </c>
      <c r="AD56" s="35">
        <f>SUMIF('5 Year Supply Plan'!A:A,'JZ_BRAND SPLITS'!C56,'5 Year Supply Plan'!T:T)</f>
        <v>11524</v>
      </c>
      <c r="AE56" s="35">
        <f t="shared" si="13"/>
        <v>11480.771000971812</v>
      </c>
      <c r="AF56" s="35">
        <f>SUMIF('5 Year Supply Plan'!A:A,'JZ_BRAND SPLITS'!C56,'5 Year Supply Plan'!U:U)</f>
        <v>9955</v>
      </c>
      <c r="AG56" s="35">
        <f t="shared" si="14"/>
        <v>9917.6566569484894</v>
      </c>
      <c r="AH56" s="35">
        <f>SUMIF('5 Year Supply Plan'!A:A,'JZ_BRAND SPLITS'!C56,'5 Year Supply Plan'!V:V)</f>
        <v>11390</v>
      </c>
      <c r="AI56" s="35">
        <f t="shared" si="15"/>
        <v>11347.27366375121</v>
      </c>
      <c r="AJ56" s="35">
        <f>SUMIF('5 Year Supply Plan'!A:A,'JZ_BRAND SPLITS'!C56,'5 Year Supply Plan'!W:W)</f>
        <v>10564</v>
      </c>
      <c r="AK56" s="35">
        <f t="shared" si="16"/>
        <v>10524.372167152571</v>
      </c>
      <c r="AL56" s="35">
        <f>SUMIF('5 Year Supply Plan'!A:A,'JZ_BRAND SPLITS'!C56,'5 Year Supply Plan'!X:X)</f>
        <v>9420</v>
      </c>
      <c r="AM56" s="35">
        <f t="shared" si="17"/>
        <v>9384.6635568513084</v>
      </c>
      <c r="AN56" s="35">
        <f>SUMIF('5 Year Supply Plan'!A:A,'JZ_BRAND SPLITS'!C56,'5 Year Supply Plan'!Y:Y)</f>
        <v>7975</v>
      </c>
      <c r="AO56" s="35">
        <f t="shared" si="18"/>
        <v>7945.0840621963043</v>
      </c>
      <c r="AP56" s="35">
        <f>SUMIF('5 Year Supply Plan'!A:A,'JZ_BRAND SPLITS'!C56,'5 Year Supply Plan'!Z:Z)</f>
        <v>8515</v>
      </c>
      <c r="AQ56" s="35">
        <f t="shared" si="19"/>
        <v>8483.0584062196267</v>
      </c>
      <c r="AR56" s="35">
        <f>SUMIF('5 Year Supply Plan'!A:A,'JZ_BRAND SPLITS'!C56,'5 Year Supply Plan'!AA:AA)</f>
        <v>10132</v>
      </c>
      <c r="AS56" s="35">
        <f t="shared" si="20"/>
        <v>10093.992691933912</v>
      </c>
      <c r="AT56" s="35">
        <f>SUMIF('5 Year Supply Plan'!A:A,'JZ_BRAND SPLITS'!C56,'5 Year Supply Plan'!AB:AB)</f>
        <v>11221</v>
      </c>
      <c r="AU56" s="35">
        <f t="shared" si="21"/>
        <v>11178.907619047615</v>
      </c>
      <c r="AV56" s="35">
        <f>SUMIF('5 Year Supply Plan'!A:A,'JZ_BRAND SPLITS'!C56,'5 Year Supply Plan'!AC:AC)</f>
        <v>11193</v>
      </c>
      <c r="AW56" s="35">
        <f t="shared" si="22"/>
        <v>11151.01265306122</v>
      </c>
      <c r="AX56" s="35">
        <f>SUMIF('5 Year Supply Plan'!A:A,'JZ_BRAND SPLITS'!C56,'5 Year Supply Plan'!AD:AD)</f>
        <v>10339</v>
      </c>
      <c r="AY56" s="35">
        <f t="shared" si="23"/>
        <v>10300.216190476187</v>
      </c>
      <c r="AZ56" s="35">
        <f>SUMIF('5 Year Supply Plan'!A:A,'JZ_BRAND SPLITS'!C56,'5 Year Supply Plan'!AE:AE)</f>
        <v>12108</v>
      </c>
      <c r="BA56" s="35">
        <f t="shared" si="24"/>
        <v>12062.580291545184</v>
      </c>
      <c r="BB56" s="35">
        <f>SUMIF('5 Year Supply Plan'!A:A,'JZ_BRAND SPLITS'!C56,'5 Year Supply Plan'!AF:AF)</f>
        <v>11898</v>
      </c>
      <c r="BC56" s="35">
        <f t="shared" si="25"/>
        <v>11853.368046647225</v>
      </c>
      <c r="BD56" s="35">
        <f>SUMIF('5 Year Supply Plan'!A:A,'JZ_BRAND SPLITS'!C56,'5 Year Supply Plan'!AG:AG)</f>
        <v>10265</v>
      </c>
      <c r="BE56" s="35">
        <f t="shared" si="26"/>
        <v>10226.493780369286</v>
      </c>
      <c r="BF56" s="35">
        <f>SUMIF('5 Year Supply Plan'!A:A,'JZ_BRAND SPLITS'!C56,'5 Year Supply Plan'!AH:AH)</f>
        <v>11759</v>
      </c>
      <c r="BG56" s="35">
        <f t="shared" si="27"/>
        <v>11714.889465500481</v>
      </c>
      <c r="BH56" s="35">
        <f>SUMIF('5 Year Supply Plan'!A:A,'JZ_BRAND SPLITS'!C56,'5 Year Supply Plan'!AI:AI)</f>
        <v>10992</v>
      </c>
      <c r="BI56" s="35">
        <f t="shared" si="28"/>
        <v>10950.766647230317</v>
      </c>
      <c r="BJ56" s="35">
        <f>SUMIF('5 Year Supply Plan'!A:A,'JZ_BRAND SPLITS'!C56,'5 Year Supply Plan'!AJ:AJ)</f>
        <v>9912</v>
      </c>
      <c r="BK56" s="35">
        <f t="shared" si="29"/>
        <v>9874.8179591836688</v>
      </c>
      <c r="BL56" s="35">
        <f>SUMIF('5 Year Supply Plan'!A:A,'JZ_BRAND SPLITS'!C56,'5 Year Supply Plan'!AK:AK)</f>
        <v>8446</v>
      </c>
      <c r="BM56" s="35">
        <f t="shared" si="30"/>
        <v>8414.3172400388703</v>
      </c>
      <c r="BN56" s="35">
        <f>SUMIF('5 Year Supply Plan'!A:A,'JZ_BRAND SPLITS'!C56,'5 Year Supply Plan'!AL:AL)</f>
        <v>8991</v>
      </c>
      <c r="BO56" s="35">
        <f t="shared" si="31"/>
        <v>8957.272827988334</v>
      </c>
      <c r="BP56" s="35">
        <f>SUMIF('5 Year Supply Plan'!A:A,'JZ_BRAND SPLITS'!C56,'5 Year Supply Plan'!AM:AM)</f>
        <v>10629</v>
      </c>
      <c r="BQ56" s="35">
        <f t="shared" si="32"/>
        <v>10589.128338192415</v>
      </c>
      <c r="BR56" s="35">
        <f>SUMIF('5 Year Supply Plan'!A:A,'JZ_BRAND SPLITS'!C56,'5 Year Supply Plan'!AN:AN)</f>
        <v>11714</v>
      </c>
      <c r="BS56" s="35">
        <f t="shared" si="33"/>
        <v>11670.058270165204</v>
      </c>
      <c r="BT56" s="35">
        <f>SUMIF('5 Year Supply Plan'!A:A,'JZ_BRAND SPLITS'!C56,'5 Year Supply Plan'!AO:AO)</f>
        <v>11687</v>
      </c>
      <c r="BU56" s="35">
        <f t="shared" si="34"/>
        <v>11643.159552964038</v>
      </c>
      <c r="BV56" s="35">
        <f>SUMIF('5 Year Supply Plan'!A:A,'JZ_BRAND SPLITS'!C56,'5 Year Supply Plan'!AP:AP)</f>
        <v>10807</v>
      </c>
      <c r="BW56" s="35">
        <f t="shared" si="35"/>
        <v>10766.460621963066</v>
      </c>
      <c r="BX56" s="35">
        <f>SUMIF('5 Year Supply Plan'!A:A,'JZ_BRAND SPLITS'!C56,'5 Year Supply Plan'!AQ:AQ)</f>
        <v>12665</v>
      </c>
      <c r="BY56" s="35">
        <f t="shared" si="36"/>
        <v>12617.49086491739</v>
      </c>
      <c r="BZ56" s="35">
        <f>SUMIF('5 Year Supply Plan'!A:A,'JZ_BRAND SPLITS'!C56,'5 Year Supply Plan'!AR:AR)</f>
        <v>12450</v>
      </c>
      <c r="CA56" s="35">
        <f t="shared" si="37"/>
        <v>12403.297376093289</v>
      </c>
      <c r="CB56" s="35">
        <f>SUMIF('5 Year Supply Plan'!A:A,'JZ_BRAND SPLITS'!C56,'5 Year Supply Plan'!AS:AS)</f>
        <v>10731</v>
      </c>
      <c r="CC56" s="35">
        <f t="shared" si="38"/>
        <v>10690.745714285709</v>
      </c>
      <c r="CD56" s="35">
        <f>SUMIF('5 Year Supply Plan'!A:A,'JZ_BRAND SPLITS'!C56,'5 Year Supply Plan'!AT:AT)</f>
        <v>12304</v>
      </c>
      <c r="CE56" s="35">
        <f t="shared" si="39"/>
        <v>12257.845053449946</v>
      </c>
      <c r="CF56" s="35">
        <f>SUMIF('5 Year Supply Plan'!A:A,'JZ_BRAND SPLITS'!C56,'5 Year Supply Plan'!AU:AU)</f>
        <v>11569</v>
      </c>
      <c r="CG56" s="35">
        <f t="shared" si="40"/>
        <v>11525.602196307089</v>
      </c>
      <c r="CH56" s="35">
        <f>SUMIF('5 Year Supply Plan'!A:A,'JZ_BRAND SPLITS'!C56,'5 Year Supply Plan'!AV:AV)</f>
        <v>10529</v>
      </c>
      <c r="CI56" s="35">
        <f t="shared" si="41"/>
        <v>10489.503459669579</v>
      </c>
      <c r="CJ56" s="35">
        <f>SUMIF('5 Year Supply Plan'!A:A,'JZ_BRAND SPLITS'!C56,'5 Year Supply Plan'!AW:AW)</f>
        <v>9058</v>
      </c>
      <c r="CK56" s="35">
        <f t="shared" si="42"/>
        <v>9024.0214965986361</v>
      </c>
      <c r="CL56" s="35">
        <f>SUMIF('5 Year Supply Plan'!A:A,'JZ_BRAND SPLITS'!C56,'5 Year Supply Plan'!AX:AX)</f>
        <v>9521</v>
      </c>
      <c r="CM56" s="35">
        <f t="shared" si="43"/>
        <v>9485.2846841593746</v>
      </c>
      <c r="CN56" s="35">
        <f>SUMIF('5 Year Supply Plan'!A:A,'JZ_BRAND SPLITS'!C56,'5 Year Supply Plan'!AY:AY)</f>
        <v>11051</v>
      </c>
      <c r="CO56" s="35">
        <f t="shared" si="44"/>
        <v>11009.545325558791</v>
      </c>
      <c r="CP56" s="35">
        <f>SUMIF('5 Year Supply Plan'!A:A,'JZ_BRAND SPLITS'!C56,'5 Year Supply Plan'!AZ:AZ)</f>
        <v>12074</v>
      </c>
      <c r="CQ56" s="35">
        <f t="shared" si="45"/>
        <v>12028.70783284742</v>
      </c>
      <c r="CR56" s="35">
        <f>SUMIF('5 Year Supply Plan'!A:A,'JZ_BRAND SPLITS'!C56,'5 Year Supply Plan'!BA:BA)</f>
        <v>12041</v>
      </c>
      <c r="CS56" s="35">
        <f t="shared" si="46"/>
        <v>11995.831622934884</v>
      </c>
      <c r="CT56" s="35">
        <f>SUMIF('5 Year Supply Plan'!A:A,'JZ_BRAND SPLITS'!C56,'5 Year Supply Plan'!BB:BB)</f>
        <v>11144</v>
      </c>
      <c r="CU56" s="35">
        <f t="shared" si="47"/>
        <v>11102.196462585031</v>
      </c>
      <c r="CV56" s="35">
        <f>SUMIF('5 Year Supply Plan'!A:A,'JZ_BRAND SPLITS'!C56,'5 Year Supply Plan'!BC:BC)</f>
        <v>13080</v>
      </c>
      <c r="CW56" s="35">
        <f t="shared" si="48"/>
        <v>13030.934110787168</v>
      </c>
      <c r="CX56" s="35">
        <f>SUMIF('5 Year Supply Plan'!A:A,'JZ_BRAND SPLITS'!C56,'5 Year Supply Plan'!BD:BD)</f>
        <v>12857</v>
      </c>
      <c r="CY56" s="35">
        <f t="shared" si="49"/>
        <v>12808.770631681238</v>
      </c>
      <c r="CZ56" s="35">
        <f>SUMIF('5 Year Supply Plan'!A:A,'JZ_BRAND SPLITS'!C56,'5 Year Supply Plan'!BE:BE)</f>
        <v>11068</v>
      </c>
      <c r="DA56" s="35">
        <f t="shared" si="50"/>
        <v>11026.481554907674</v>
      </c>
      <c r="DB56" s="35">
        <f>SUMIF('5 Year Supply Plan'!A:A,'JZ_BRAND SPLITS'!C56,'5 Year Supply Plan'!BF:BF)</f>
        <v>12704</v>
      </c>
      <c r="DC56" s="35">
        <f t="shared" si="51"/>
        <v>12656.344567541297</v>
      </c>
      <c r="DD56" s="35">
        <f>SUMIF('5 Year Supply Plan'!A:A,'JZ_BRAND SPLITS'!C56,'5 Year Supply Plan'!BG:BG)</f>
        <v>12009</v>
      </c>
      <c r="DE56" s="35">
        <f t="shared" si="52"/>
        <v>11963.951661807576</v>
      </c>
      <c r="DF56" s="35">
        <f>SUMIF('5 Year Supply Plan'!A:A,'JZ_BRAND SPLITS'!C56,'5 Year Supply Plan'!BH:BH)</f>
        <v>11247</v>
      </c>
      <c r="DG56" s="35">
        <f t="shared" si="53"/>
        <v>11204.810087463553</v>
      </c>
      <c r="DH56" s="35">
        <f>SUMIF('5 Year Supply Plan'!A:A,'JZ_BRAND SPLITS'!C56,'5 Year Supply Plan'!BI:BI)</f>
        <v>10155</v>
      </c>
      <c r="DI56" s="35">
        <f t="shared" si="54"/>
        <v>10116.906413994166</v>
      </c>
      <c r="DJ56" s="35">
        <f>SUMIF('5 Year Supply Plan'!A:A,'JZ_BRAND SPLITS'!C56,'5 Year Supply Plan'!BJ:BJ)</f>
        <v>10566</v>
      </c>
      <c r="DK56" s="35">
        <f t="shared" si="55"/>
        <v>10526.364664723027</v>
      </c>
      <c r="DL56" s="35">
        <f>SUMIF('5 Year Supply Plan'!A:A,'JZ_BRAND SPLITS'!C56,'5 Year Supply Plan'!BK:BK)</f>
        <v>12320</v>
      </c>
      <c r="DM56" s="35">
        <f t="shared" si="56"/>
        <v>12273.785034013601</v>
      </c>
      <c r="DN56" s="42">
        <f>SUMIF('5 Year Supply Plan'!A:A,'JZ_BRAND SPLITS'!C56,'5 Year Supply Plan'!BL:BL)</f>
        <v>13890</v>
      </c>
      <c r="DO56" s="35">
        <f t="shared" si="57"/>
        <v>13837.895626822152</v>
      </c>
      <c r="DP56" s="35">
        <f>SUMIF('5 Year Supply Plan'!A:A,'JZ_BRAND SPLITS'!C56,'5 Year Supply Plan'!BM:BM)</f>
        <v>11615.75</v>
      </c>
      <c r="DQ56" s="35">
        <f t="shared" si="58"/>
        <v>11572.176827016516</v>
      </c>
      <c r="DR56" s="35">
        <f>SUMIF('5 Year Supply Plan'!A:A,'JZ_BRAND SPLITS'!C56,'5 Year Supply Plan'!BN:BN)</f>
        <v>11615.75</v>
      </c>
      <c r="DS56" s="35">
        <f t="shared" si="59"/>
        <v>11572.176827016516</v>
      </c>
      <c r="DT56" s="39">
        <f t="shared" si="60"/>
        <v>644798.61439261422</v>
      </c>
      <c r="DU56" s="36">
        <f>SUMIF('5 Year Supply Plan'!A:A,'JZ_BRAND SPLITS'!C56,'5 Year Supply Plan'!BO:BO)</f>
        <v>647226.5</v>
      </c>
    </row>
    <row r="57" spans="1:125" x14ac:dyDescent="0.25">
      <c r="A57" s="40" t="s">
        <v>277</v>
      </c>
      <c r="B57" s="40" t="s">
        <v>275</v>
      </c>
      <c r="C57" s="40" t="s">
        <v>88</v>
      </c>
      <c r="D57" s="40" t="str">
        <f t="shared" si="0"/>
        <v>E00COPTEASE RETRIEVAL CATHETER</v>
      </c>
      <c r="E57" s="41">
        <v>1</v>
      </c>
      <c r="F57" s="35">
        <f>SUMIF('5 Year Supply Plan'!A:A,'JZ_BRAND SPLITS'!C57,'5 Year Supply Plan'!H:H)</f>
        <v>0</v>
      </c>
      <c r="G57" s="35">
        <f t="shared" si="1"/>
        <v>0</v>
      </c>
      <c r="H57" s="35">
        <f>SUMIF('5 Year Supply Plan'!A:A,'JZ_BRAND SPLITS'!C57,'5 Year Supply Plan'!I:I)</f>
        <v>0</v>
      </c>
      <c r="I57" s="35">
        <f t="shared" si="2"/>
        <v>0</v>
      </c>
      <c r="J57" s="35">
        <f>SUMIF('5 Year Supply Plan'!A:A,'JZ_BRAND SPLITS'!C57,'5 Year Supply Plan'!J:J)</f>
        <v>0</v>
      </c>
      <c r="K57" s="35">
        <f t="shared" si="3"/>
        <v>0</v>
      </c>
      <c r="L57" s="35">
        <f>SUMIF('5 Year Supply Plan'!A:A,'JZ_BRAND SPLITS'!C57,'5 Year Supply Plan'!K:K)</f>
        <v>2300</v>
      </c>
      <c r="M57" s="35">
        <f t="shared" si="4"/>
        <v>2300</v>
      </c>
      <c r="N57" s="35">
        <f>SUMIF('5 Year Supply Plan'!A:A,'JZ_BRAND SPLITS'!C57,'5 Year Supply Plan'!L:L)</f>
        <v>1500</v>
      </c>
      <c r="O57" s="35">
        <f t="shared" si="5"/>
        <v>1500</v>
      </c>
      <c r="P57" s="35">
        <f>SUMIF('5 Year Supply Plan'!A:A,'JZ_BRAND SPLITS'!C57,'5 Year Supply Plan'!M:M)</f>
        <v>2300</v>
      </c>
      <c r="Q57" s="35">
        <f t="shared" si="6"/>
        <v>2300</v>
      </c>
      <c r="R57" s="35">
        <f>SUMIF('5 Year Supply Plan'!A:A,'JZ_BRAND SPLITS'!C57,'5 Year Supply Plan'!N:N)</f>
        <v>2500</v>
      </c>
      <c r="S57" s="35">
        <f t="shared" si="7"/>
        <v>2500</v>
      </c>
      <c r="T57" s="35">
        <f>SUMIF('5 Year Supply Plan'!A:A,'JZ_BRAND SPLITS'!C57,'5 Year Supply Plan'!O:O)</f>
        <v>2500</v>
      </c>
      <c r="U57" s="35">
        <f t="shared" si="8"/>
        <v>2500</v>
      </c>
      <c r="V57" s="35">
        <f>SUMIF('5 Year Supply Plan'!A:A,'JZ_BRAND SPLITS'!C57,'5 Year Supply Plan'!P:P)</f>
        <v>2500</v>
      </c>
      <c r="W57" s="35">
        <f t="shared" si="9"/>
        <v>2500</v>
      </c>
      <c r="X57" s="35">
        <f>SUMIF('5 Year Supply Plan'!A:A,'JZ_BRAND SPLITS'!C57,'5 Year Supply Plan'!Q:Q)</f>
        <v>2500</v>
      </c>
      <c r="Y57" s="35">
        <f t="shared" si="10"/>
        <v>2500</v>
      </c>
      <c r="Z57" s="35">
        <f>SUMIF('5 Year Supply Plan'!A:A,'JZ_BRAND SPLITS'!C57,'5 Year Supply Plan'!R:R)</f>
        <v>1921</v>
      </c>
      <c r="AA57" s="35">
        <f t="shared" si="11"/>
        <v>1921</v>
      </c>
      <c r="AB57" s="35">
        <f>SUMIF('5 Year Supply Plan'!A:A,'JZ_BRAND SPLITS'!C57,'5 Year Supply Plan'!S:S)</f>
        <v>2160</v>
      </c>
      <c r="AC57" s="35">
        <f t="shared" si="12"/>
        <v>2160</v>
      </c>
      <c r="AD57" s="35">
        <f>SUMIF('5 Year Supply Plan'!A:A,'JZ_BRAND SPLITS'!C57,'5 Year Supply Plan'!T:T)</f>
        <v>2436</v>
      </c>
      <c r="AE57" s="35">
        <f t="shared" si="13"/>
        <v>2436</v>
      </c>
      <c r="AF57" s="35">
        <f>SUMIF('5 Year Supply Plan'!A:A,'JZ_BRAND SPLITS'!C57,'5 Year Supply Plan'!U:U)</f>
        <v>2199</v>
      </c>
      <c r="AG57" s="35">
        <f t="shared" si="14"/>
        <v>2199</v>
      </c>
      <c r="AH57" s="35">
        <f>SUMIF('5 Year Supply Plan'!A:A,'JZ_BRAND SPLITS'!C57,'5 Year Supply Plan'!V:V)</f>
        <v>2170</v>
      </c>
      <c r="AI57" s="35">
        <f t="shared" si="15"/>
        <v>2170</v>
      </c>
      <c r="AJ57" s="35">
        <f>SUMIF('5 Year Supply Plan'!A:A,'JZ_BRAND SPLITS'!C57,'5 Year Supply Plan'!W:W)</f>
        <v>2074</v>
      </c>
      <c r="AK57" s="35">
        <f t="shared" si="16"/>
        <v>2074</v>
      </c>
      <c r="AL57" s="35">
        <f>SUMIF('5 Year Supply Plan'!A:A,'JZ_BRAND SPLITS'!C57,'5 Year Supply Plan'!X:X)</f>
        <v>1867</v>
      </c>
      <c r="AM57" s="35">
        <f t="shared" si="17"/>
        <v>1867</v>
      </c>
      <c r="AN57" s="35">
        <f>SUMIF('5 Year Supply Plan'!A:A,'JZ_BRAND SPLITS'!C57,'5 Year Supply Plan'!Y:Y)</f>
        <v>1945</v>
      </c>
      <c r="AO57" s="35">
        <f t="shared" si="18"/>
        <v>1945</v>
      </c>
      <c r="AP57" s="35">
        <f>SUMIF('5 Year Supply Plan'!A:A,'JZ_BRAND SPLITS'!C57,'5 Year Supply Plan'!Z:Z)</f>
        <v>2288</v>
      </c>
      <c r="AQ57" s="35">
        <f t="shared" si="19"/>
        <v>2288</v>
      </c>
      <c r="AR57" s="35">
        <f>SUMIF('5 Year Supply Plan'!A:A,'JZ_BRAND SPLITS'!C57,'5 Year Supply Plan'!AA:AA)</f>
        <v>2056</v>
      </c>
      <c r="AS57" s="35">
        <f t="shared" si="20"/>
        <v>2056</v>
      </c>
      <c r="AT57" s="35">
        <f>SUMIF('5 Year Supply Plan'!A:A,'JZ_BRAND SPLITS'!C57,'5 Year Supply Plan'!AB:AB)</f>
        <v>1775</v>
      </c>
      <c r="AU57" s="35">
        <f t="shared" si="21"/>
        <v>1775</v>
      </c>
      <c r="AV57" s="35">
        <f>SUMIF('5 Year Supply Plan'!A:A,'JZ_BRAND SPLITS'!C57,'5 Year Supply Plan'!AC:AC)</f>
        <v>2062</v>
      </c>
      <c r="AW57" s="35">
        <f t="shared" si="22"/>
        <v>2062</v>
      </c>
      <c r="AX57" s="35">
        <f>SUMIF('5 Year Supply Plan'!A:A,'JZ_BRAND SPLITS'!C57,'5 Year Supply Plan'!AD:AD)</f>
        <v>2060</v>
      </c>
      <c r="AY57" s="35">
        <f t="shared" si="23"/>
        <v>2060</v>
      </c>
      <c r="AZ57" s="35">
        <f>SUMIF('5 Year Supply Plan'!A:A,'JZ_BRAND SPLITS'!C57,'5 Year Supply Plan'!AE:AE)</f>
        <v>2319</v>
      </c>
      <c r="BA57" s="35">
        <f t="shared" si="24"/>
        <v>2319</v>
      </c>
      <c r="BB57" s="35">
        <f>SUMIF('5 Year Supply Plan'!A:A,'JZ_BRAND SPLITS'!C57,'5 Year Supply Plan'!AF:AF)</f>
        <v>2622</v>
      </c>
      <c r="BC57" s="35">
        <f t="shared" si="25"/>
        <v>2622</v>
      </c>
      <c r="BD57" s="35">
        <f>SUMIF('5 Year Supply Plan'!A:A,'JZ_BRAND SPLITS'!C57,'5 Year Supply Plan'!AG:AG)</f>
        <v>2366</v>
      </c>
      <c r="BE57" s="35">
        <f t="shared" si="26"/>
        <v>2366</v>
      </c>
      <c r="BF57" s="35">
        <f>SUMIF('5 Year Supply Plan'!A:A,'JZ_BRAND SPLITS'!C57,'5 Year Supply Plan'!AH:AH)</f>
        <v>2336</v>
      </c>
      <c r="BG57" s="35">
        <f t="shared" si="27"/>
        <v>2336</v>
      </c>
      <c r="BH57" s="35">
        <f>SUMIF('5 Year Supply Plan'!A:A,'JZ_BRAND SPLITS'!C57,'5 Year Supply Plan'!AI:AI)</f>
        <v>2228</v>
      </c>
      <c r="BI57" s="35">
        <f t="shared" si="28"/>
        <v>2228</v>
      </c>
      <c r="BJ57" s="35">
        <f>SUMIF('5 Year Supply Plan'!A:A,'JZ_BRAND SPLITS'!C57,'5 Year Supply Plan'!AJ:AJ)</f>
        <v>2001</v>
      </c>
      <c r="BK57" s="35">
        <f t="shared" si="29"/>
        <v>2001</v>
      </c>
      <c r="BL57" s="35">
        <f>SUMIF('5 Year Supply Plan'!A:A,'JZ_BRAND SPLITS'!C57,'5 Year Supply Plan'!AK:AK)</f>
        <v>2089</v>
      </c>
      <c r="BM57" s="35">
        <f t="shared" si="30"/>
        <v>2089</v>
      </c>
      <c r="BN57" s="35">
        <f>SUMIF('5 Year Supply Plan'!A:A,'JZ_BRAND SPLITS'!C57,'5 Year Supply Plan'!AL:AL)</f>
        <v>2458</v>
      </c>
      <c r="BO57" s="35">
        <f t="shared" si="31"/>
        <v>2458</v>
      </c>
      <c r="BP57" s="35">
        <f>SUMIF('5 Year Supply Plan'!A:A,'JZ_BRAND SPLITS'!C57,'5 Year Supply Plan'!AM:AM)</f>
        <v>2236</v>
      </c>
      <c r="BQ57" s="35">
        <f t="shared" si="32"/>
        <v>2236</v>
      </c>
      <c r="BR57" s="35">
        <f>SUMIF('5 Year Supply Plan'!A:A,'JZ_BRAND SPLITS'!C57,'5 Year Supply Plan'!AN:AN)</f>
        <v>1962</v>
      </c>
      <c r="BS57" s="35">
        <f t="shared" si="33"/>
        <v>1962</v>
      </c>
      <c r="BT57" s="35">
        <f>SUMIF('5 Year Supply Plan'!A:A,'JZ_BRAND SPLITS'!C57,'5 Year Supply Plan'!AO:AO)</f>
        <v>2287</v>
      </c>
      <c r="BU57" s="35">
        <f t="shared" si="34"/>
        <v>2287</v>
      </c>
      <c r="BV57" s="35">
        <f>SUMIF('5 Year Supply Plan'!A:A,'JZ_BRAND SPLITS'!C57,'5 Year Supply Plan'!AP:AP)</f>
        <v>2286</v>
      </c>
      <c r="BW57" s="35">
        <f t="shared" si="35"/>
        <v>2286</v>
      </c>
      <c r="BX57" s="35">
        <f>SUMIF('5 Year Supply Plan'!A:A,'JZ_BRAND SPLITS'!C57,'5 Year Supply Plan'!AQ:AQ)</f>
        <v>2577</v>
      </c>
      <c r="BY57" s="35">
        <f t="shared" si="36"/>
        <v>2577</v>
      </c>
      <c r="BZ57" s="35">
        <f>SUMIF('5 Year Supply Plan'!A:A,'JZ_BRAND SPLITS'!C57,'5 Year Supply Plan'!AR:AR)</f>
        <v>2923</v>
      </c>
      <c r="CA57" s="35">
        <f t="shared" si="37"/>
        <v>2923</v>
      </c>
      <c r="CB57" s="35">
        <f>SUMIF('5 Year Supply Plan'!A:A,'JZ_BRAND SPLITS'!C57,'5 Year Supply Plan'!AS:AS)</f>
        <v>2636</v>
      </c>
      <c r="CC57" s="35">
        <f t="shared" si="38"/>
        <v>2636</v>
      </c>
      <c r="CD57" s="35">
        <f>SUMIF('5 Year Supply Plan'!A:A,'JZ_BRAND SPLITS'!C57,'5 Year Supply Plan'!AT:AT)</f>
        <v>2602</v>
      </c>
      <c r="CE57" s="35">
        <f t="shared" si="39"/>
        <v>2602</v>
      </c>
      <c r="CF57" s="35">
        <f>SUMIF('5 Year Supply Plan'!A:A,'JZ_BRAND SPLITS'!C57,'5 Year Supply Plan'!AU:AU)</f>
        <v>2479</v>
      </c>
      <c r="CG57" s="35">
        <f t="shared" si="40"/>
        <v>2479</v>
      </c>
      <c r="CH57" s="35">
        <f>SUMIF('5 Year Supply Plan'!A:A,'JZ_BRAND SPLITS'!C57,'5 Year Supply Plan'!AV:AV)</f>
        <v>2221</v>
      </c>
      <c r="CI57" s="35">
        <f t="shared" si="41"/>
        <v>2221</v>
      </c>
      <c r="CJ57" s="35">
        <f>SUMIF('5 Year Supply Plan'!A:A,'JZ_BRAND SPLITS'!C57,'5 Year Supply Plan'!AW:AW)</f>
        <v>2322</v>
      </c>
      <c r="CK57" s="35">
        <f t="shared" si="42"/>
        <v>2322</v>
      </c>
      <c r="CL57" s="35">
        <f>SUMIF('5 Year Supply Plan'!A:A,'JZ_BRAND SPLITS'!C57,'5 Year Supply Plan'!AX:AX)</f>
        <v>2764</v>
      </c>
      <c r="CM57" s="35">
        <f t="shared" si="43"/>
        <v>2764</v>
      </c>
      <c r="CN57" s="35">
        <f>SUMIF('5 Year Supply Plan'!A:A,'JZ_BRAND SPLITS'!C57,'5 Year Supply Plan'!AY:AY)</f>
        <v>2474</v>
      </c>
      <c r="CO57" s="35">
        <f t="shared" si="44"/>
        <v>2474</v>
      </c>
      <c r="CP57" s="35">
        <f>SUMIF('5 Year Supply Plan'!A:A,'JZ_BRAND SPLITS'!C57,'5 Year Supply Plan'!AZ:AZ)</f>
        <v>2152</v>
      </c>
      <c r="CQ57" s="35">
        <f t="shared" si="45"/>
        <v>2152</v>
      </c>
      <c r="CR57" s="35">
        <f>SUMIF('5 Year Supply Plan'!A:A,'JZ_BRAND SPLITS'!C57,'5 Year Supply Plan'!BA:BA)</f>
        <v>2509</v>
      </c>
      <c r="CS57" s="35">
        <f t="shared" si="46"/>
        <v>2509</v>
      </c>
      <c r="CT57" s="35">
        <f>SUMIF('5 Year Supply Plan'!A:A,'JZ_BRAND SPLITS'!C57,'5 Year Supply Plan'!BB:BB)</f>
        <v>2515</v>
      </c>
      <c r="CU57" s="35">
        <f t="shared" si="47"/>
        <v>2515</v>
      </c>
      <c r="CV57" s="35">
        <f>SUMIF('5 Year Supply Plan'!A:A,'JZ_BRAND SPLITS'!C57,'5 Year Supply Plan'!BC:BC)</f>
        <v>2835</v>
      </c>
      <c r="CW57" s="35">
        <f t="shared" si="48"/>
        <v>2835</v>
      </c>
      <c r="CX57" s="35">
        <f>SUMIF('5 Year Supply Plan'!A:A,'JZ_BRAND SPLITS'!C57,'5 Year Supply Plan'!BD:BD)</f>
        <v>3224</v>
      </c>
      <c r="CY57" s="35">
        <f t="shared" si="49"/>
        <v>3224</v>
      </c>
      <c r="CZ57" s="35">
        <f>SUMIF('5 Year Supply Plan'!A:A,'JZ_BRAND SPLITS'!C57,'5 Year Supply Plan'!BE:BE)</f>
        <v>2904</v>
      </c>
      <c r="DA57" s="35">
        <f t="shared" si="50"/>
        <v>2904</v>
      </c>
      <c r="DB57" s="35">
        <f>SUMIF('5 Year Supply Plan'!A:A,'JZ_BRAND SPLITS'!C57,'5 Year Supply Plan'!BF:BF)</f>
        <v>2868</v>
      </c>
      <c r="DC57" s="35">
        <f t="shared" si="51"/>
        <v>2868</v>
      </c>
      <c r="DD57" s="35">
        <f>SUMIF('5 Year Supply Plan'!A:A,'JZ_BRAND SPLITS'!C57,'5 Year Supply Plan'!BG:BG)</f>
        <v>2728</v>
      </c>
      <c r="DE57" s="35">
        <f t="shared" si="52"/>
        <v>2728</v>
      </c>
      <c r="DF57" s="35">
        <f>SUMIF('5 Year Supply Plan'!A:A,'JZ_BRAND SPLITS'!C57,'5 Year Supply Plan'!BH:BH)</f>
        <v>2437</v>
      </c>
      <c r="DG57" s="35">
        <f t="shared" si="53"/>
        <v>2437</v>
      </c>
      <c r="DH57" s="35">
        <f>SUMIF('5 Year Supply Plan'!A:A,'JZ_BRAND SPLITS'!C57,'5 Year Supply Plan'!BI:BI)</f>
        <v>2171</v>
      </c>
      <c r="DI57" s="35">
        <f t="shared" si="54"/>
        <v>2171</v>
      </c>
      <c r="DJ57" s="35">
        <f>SUMIF('5 Year Supply Plan'!A:A,'JZ_BRAND SPLITS'!C57,'5 Year Supply Plan'!BJ:BJ)</f>
        <v>2175</v>
      </c>
      <c r="DK57" s="35">
        <f t="shared" si="55"/>
        <v>2175</v>
      </c>
      <c r="DL57" s="35">
        <f>SUMIF('5 Year Supply Plan'!A:A,'JZ_BRAND SPLITS'!C57,'5 Year Supply Plan'!BK:BK)</f>
        <v>2027</v>
      </c>
      <c r="DM57" s="35">
        <f t="shared" si="56"/>
        <v>2027</v>
      </c>
      <c r="DN57" s="42">
        <f>SUMIF('5 Year Supply Plan'!A:A,'JZ_BRAND SPLITS'!C57,'5 Year Supply Plan'!BL:BL)</f>
        <v>1926</v>
      </c>
      <c r="DO57" s="35">
        <f t="shared" si="57"/>
        <v>1926</v>
      </c>
      <c r="DP57" s="35">
        <f>SUMIF('5 Year Supply Plan'!A:A,'JZ_BRAND SPLITS'!C57,'5 Year Supply Plan'!BM:BM)</f>
        <v>2566.75</v>
      </c>
      <c r="DQ57" s="35">
        <f t="shared" si="58"/>
        <v>2566.75</v>
      </c>
      <c r="DR57" s="35">
        <f>SUMIF('5 Year Supply Plan'!A:A,'JZ_BRAND SPLITS'!C57,'5 Year Supply Plan'!BN:BN)</f>
        <v>2566.75</v>
      </c>
      <c r="DS57" s="35">
        <f t="shared" si="59"/>
        <v>2566.75</v>
      </c>
      <c r="DT57" s="39">
        <f t="shared" si="60"/>
        <v>130905.5</v>
      </c>
      <c r="DU57" s="36">
        <f>SUMIF('5 Year Supply Plan'!A:A,'JZ_BRAND SPLITS'!C57,'5 Year Supply Plan'!BO:BO)</f>
        <v>130905.5</v>
      </c>
    </row>
    <row r="58" spans="1:125" x14ac:dyDescent="0.25">
      <c r="A58" s="40" t="s">
        <v>277</v>
      </c>
      <c r="B58" s="40" t="s">
        <v>275</v>
      </c>
      <c r="C58" s="40" t="s">
        <v>109</v>
      </c>
      <c r="D58" s="40" t="str">
        <f t="shared" si="0"/>
        <v>E00CVISTA BRITE TIP</v>
      </c>
      <c r="E58" s="41">
        <v>2.3941960830523609E-3</v>
      </c>
      <c r="F58" s="35">
        <f>SUMIF('5 Year Supply Plan'!A:A,'JZ_BRAND SPLITS'!C58,'5 Year Supply Plan'!H:H)</f>
        <v>280807.69677699998</v>
      </c>
      <c r="G58" s="35">
        <f t="shared" si="1"/>
        <v>672.30868771444841</v>
      </c>
      <c r="H58" s="35">
        <f>SUMIF('5 Year Supply Plan'!A:A,'JZ_BRAND SPLITS'!C58,'5 Year Supply Plan'!I:I)</f>
        <v>333372.86914099997</v>
      </c>
      <c r="I58" s="35">
        <f t="shared" si="2"/>
        <v>798.1600174933094</v>
      </c>
      <c r="J58" s="35">
        <f>SUMIF('5 Year Supply Plan'!A:A,'JZ_BRAND SPLITS'!C58,'5 Year Supply Plan'!J:J)</f>
        <v>277810.72168000002</v>
      </c>
      <c r="K58" s="35">
        <f t="shared" si="3"/>
        <v>665.13334167620565</v>
      </c>
      <c r="L58" s="35">
        <f>SUMIF('5 Year Supply Plan'!A:A,'JZ_BRAND SPLITS'!C58,'5 Year Supply Plan'!K:K)</f>
        <v>221601</v>
      </c>
      <c r="M58" s="35">
        <f t="shared" si="4"/>
        <v>530.55624620048627</v>
      </c>
      <c r="N58" s="35">
        <f>SUMIF('5 Year Supply Plan'!A:A,'JZ_BRAND SPLITS'!C58,'5 Year Supply Plan'!L:L)</f>
        <v>126362</v>
      </c>
      <c r="O58" s="35">
        <f t="shared" si="5"/>
        <v>302.53540544666242</v>
      </c>
      <c r="P58" s="35">
        <f>SUMIF('5 Year Supply Plan'!A:A,'JZ_BRAND SPLITS'!C58,'5 Year Supply Plan'!M:M)</f>
        <v>213221</v>
      </c>
      <c r="Q58" s="35">
        <f t="shared" si="6"/>
        <v>510.49288302450742</v>
      </c>
      <c r="R58" s="35">
        <f>SUMIF('5 Year Supply Plan'!A:A,'JZ_BRAND SPLITS'!C58,'5 Year Supply Plan'!N:N)</f>
        <v>224906</v>
      </c>
      <c r="S58" s="35">
        <f t="shared" si="7"/>
        <v>538.46906425497423</v>
      </c>
      <c r="T58" s="35">
        <f>SUMIF('5 Year Supply Plan'!A:A,'JZ_BRAND SPLITS'!C58,'5 Year Supply Plan'!O:O)</f>
        <v>239513</v>
      </c>
      <c r="U58" s="35">
        <f t="shared" si="8"/>
        <v>573.4410864401201</v>
      </c>
      <c r="V58" s="35">
        <f>SUMIF('5 Year Supply Plan'!A:A,'JZ_BRAND SPLITS'!C58,'5 Year Supply Plan'!P:P)</f>
        <v>230425</v>
      </c>
      <c r="W58" s="35">
        <f t="shared" si="9"/>
        <v>551.68263243734032</v>
      </c>
      <c r="X58" s="35">
        <f>SUMIF('5 Year Supply Plan'!A:A,'JZ_BRAND SPLITS'!C58,'5 Year Supply Plan'!Q:Q)</f>
        <v>224980</v>
      </c>
      <c r="Y58" s="35">
        <f t="shared" si="10"/>
        <v>538.6462347651202</v>
      </c>
      <c r="Z58" s="35">
        <f>SUMIF('5 Year Supply Plan'!A:A,'JZ_BRAND SPLITS'!C58,'5 Year Supply Plan'!R:R)</f>
        <v>218045</v>
      </c>
      <c r="AA58" s="35">
        <f t="shared" si="11"/>
        <v>522.04248492915201</v>
      </c>
      <c r="AB58" s="35">
        <f>SUMIF('5 Year Supply Plan'!A:A,'JZ_BRAND SPLITS'!C58,'5 Year Supply Plan'!S:S)</f>
        <v>243932</v>
      </c>
      <c r="AC58" s="35">
        <f t="shared" si="12"/>
        <v>584.02103893112849</v>
      </c>
      <c r="AD58" s="35">
        <f>SUMIF('5 Year Supply Plan'!A:A,'JZ_BRAND SPLITS'!C58,'5 Year Supply Plan'!T:T)</f>
        <v>238049</v>
      </c>
      <c r="AE58" s="35">
        <f t="shared" si="13"/>
        <v>569.93598337453147</v>
      </c>
      <c r="AF58" s="35">
        <f>SUMIF('5 Year Supply Plan'!A:A,'JZ_BRAND SPLITS'!C58,'5 Year Supply Plan'!U:U)</f>
        <v>218567</v>
      </c>
      <c r="AG58" s="35">
        <f t="shared" si="14"/>
        <v>523.29225528450536</v>
      </c>
      <c r="AH58" s="35">
        <f>SUMIF('5 Year Supply Plan'!A:A,'JZ_BRAND SPLITS'!C58,'5 Year Supply Plan'!V:V)</f>
        <v>239317</v>
      </c>
      <c r="AI58" s="35">
        <f t="shared" si="15"/>
        <v>572.97182400784186</v>
      </c>
      <c r="AJ58" s="35">
        <f>SUMIF('5 Year Supply Plan'!A:A,'JZ_BRAND SPLITS'!C58,'5 Year Supply Plan'!W:W)</f>
        <v>229421</v>
      </c>
      <c r="AK58" s="35">
        <f t="shared" si="16"/>
        <v>549.27885956995567</v>
      </c>
      <c r="AL58" s="35">
        <f>SUMIF('5 Year Supply Plan'!A:A,'JZ_BRAND SPLITS'!C58,'5 Year Supply Plan'!X:X)</f>
        <v>259307</v>
      </c>
      <c r="AM58" s="35">
        <f t="shared" si="17"/>
        <v>620.8318037080586</v>
      </c>
      <c r="AN58" s="35">
        <f>SUMIF('5 Year Supply Plan'!A:A,'JZ_BRAND SPLITS'!C58,'5 Year Supply Plan'!Y:Y)</f>
        <v>258943</v>
      </c>
      <c r="AO58" s="35">
        <f t="shared" si="18"/>
        <v>619.96031633382745</v>
      </c>
      <c r="AP58" s="35">
        <f>SUMIF('5 Year Supply Plan'!A:A,'JZ_BRAND SPLITS'!C58,'5 Year Supply Plan'!Z:Z)</f>
        <v>237283</v>
      </c>
      <c r="AQ58" s="35">
        <f t="shared" si="19"/>
        <v>568.10202917491335</v>
      </c>
      <c r="AR58" s="35">
        <f>SUMIF('5 Year Supply Plan'!A:A,'JZ_BRAND SPLITS'!C58,'5 Year Supply Plan'!AA:AA)</f>
        <v>261853</v>
      </c>
      <c r="AS58" s="35">
        <f t="shared" si="20"/>
        <v>626.92742693550986</v>
      </c>
      <c r="AT58" s="35">
        <f>SUMIF('5 Year Supply Plan'!A:A,'JZ_BRAND SPLITS'!C58,'5 Year Supply Plan'!AB:AB)</f>
        <v>268354</v>
      </c>
      <c r="AU58" s="35">
        <f t="shared" si="21"/>
        <v>642.49209567143328</v>
      </c>
      <c r="AV58" s="35">
        <f>SUMIF('5 Year Supply Plan'!A:A,'JZ_BRAND SPLITS'!C58,'5 Year Supply Plan'!AC:AC)</f>
        <v>237492</v>
      </c>
      <c r="AW58" s="35">
        <f t="shared" si="22"/>
        <v>568.60241615627126</v>
      </c>
      <c r="AX58" s="35">
        <f>SUMIF('5 Year Supply Plan'!A:A,'JZ_BRAND SPLITS'!C58,'5 Year Supply Plan'!AD:AD)</f>
        <v>229614</v>
      </c>
      <c r="AY58" s="35">
        <f t="shared" si="23"/>
        <v>549.74093941398485</v>
      </c>
      <c r="AZ58" s="35">
        <f>SUMIF('5 Year Supply Plan'!A:A,'JZ_BRAND SPLITS'!C58,'5 Year Supply Plan'!AE:AE)</f>
        <v>259190</v>
      </c>
      <c r="BA58" s="35">
        <f t="shared" si="24"/>
        <v>620.5516827663414</v>
      </c>
      <c r="BB58" s="35">
        <f>SUMIF('5 Year Supply Plan'!A:A,'JZ_BRAND SPLITS'!C58,'5 Year Supply Plan'!AF:AF)</f>
        <v>253637</v>
      </c>
      <c r="BC58" s="35">
        <f t="shared" si="25"/>
        <v>607.25671191715162</v>
      </c>
      <c r="BD58" s="35">
        <f>SUMIF('5 Year Supply Plan'!A:A,'JZ_BRAND SPLITS'!C58,'5 Year Supply Plan'!AG:AG)</f>
        <v>232371</v>
      </c>
      <c r="BE58" s="35">
        <f t="shared" si="26"/>
        <v>556.34173801496013</v>
      </c>
      <c r="BF58" s="35">
        <f>SUMIF('5 Year Supply Plan'!A:A,'JZ_BRAND SPLITS'!C58,'5 Year Supply Plan'!AH:AH)</f>
        <v>253616</v>
      </c>
      <c r="BG58" s="35">
        <f t="shared" si="27"/>
        <v>607.20643379940759</v>
      </c>
      <c r="BH58" s="35">
        <f>SUMIF('5 Year Supply Plan'!A:A,'JZ_BRAND SPLITS'!C58,'5 Year Supply Plan'!AI:AI)</f>
        <v>243593</v>
      </c>
      <c r="BI58" s="35">
        <f t="shared" si="28"/>
        <v>583.20940645897372</v>
      </c>
      <c r="BJ58" s="35">
        <f>SUMIF('5 Year Supply Plan'!A:A,'JZ_BRAND SPLITS'!C58,'5 Year Supply Plan'!AJ:AJ)</f>
        <v>274674</v>
      </c>
      <c r="BK58" s="35">
        <f t="shared" si="29"/>
        <v>657.62341491632424</v>
      </c>
      <c r="BL58" s="35">
        <f>SUMIF('5 Year Supply Plan'!A:A,'JZ_BRAND SPLITS'!C58,'5 Year Supply Plan'!AK:AK)</f>
        <v>274416</v>
      </c>
      <c r="BM58" s="35">
        <f t="shared" si="30"/>
        <v>657.00571232689663</v>
      </c>
      <c r="BN58" s="35">
        <f>SUMIF('5 Year Supply Plan'!A:A,'JZ_BRAND SPLITS'!C58,'5 Year Supply Plan'!AL:AL)</f>
        <v>252580</v>
      </c>
      <c r="BO58" s="35">
        <f t="shared" si="31"/>
        <v>604.72604665736537</v>
      </c>
      <c r="BP58" s="35">
        <f>SUMIF('5 Year Supply Plan'!A:A,'JZ_BRAND SPLITS'!C58,'5 Year Supply Plan'!AM:AM)</f>
        <v>278662</v>
      </c>
      <c r="BQ58" s="35">
        <f t="shared" si="32"/>
        <v>667.17146889553703</v>
      </c>
      <c r="BR58" s="35">
        <f>SUMIF('5 Year Supply Plan'!A:A,'JZ_BRAND SPLITS'!C58,'5 Year Supply Plan'!AN:AN)</f>
        <v>285661</v>
      </c>
      <c r="BS58" s="35">
        <f t="shared" si="33"/>
        <v>683.92844728082048</v>
      </c>
      <c r="BT58" s="35">
        <f>SUMIF('5 Year Supply Plan'!A:A,'JZ_BRAND SPLITS'!C58,'5 Year Supply Plan'!AO:AO)</f>
        <v>254215</v>
      </c>
      <c r="BU58" s="35">
        <f t="shared" si="34"/>
        <v>608.64055725315598</v>
      </c>
      <c r="BV58" s="35">
        <f>SUMIF('5 Year Supply Plan'!A:A,'JZ_BRAND SPLITS'!C58,'5 Year Supply Plan'!AP:AP)</f>
        <v>245238</v>
      </c>
      <c r="BW58" s="35">
        <f t="shared" si="35"/>
        <v>587.14785901559492</v>
      </c>
      <c r="BX58" s="35">
        <f>SUMIF('5 Year Supply Plan'!A:A,'JZ_BRAND SPLITS'!C58,'5 Year Supply Plan'!AQ:AQ)</f>
        <v>276727</v>
      </c>
      <c r="BY58" s="35">
        <f t="shared" si="36"/>
        <v>662.53869947483065</v>
      </c>
      <c r="BZ58" s="35">
        <f>SUMIF('5 Year Supply Plan'!A:A,'JZ_BRAND SPLITS'!C58,'5 Year Supply Plan'!AR:AR)</f>
        <v>271462</v>
      </c>
      <c r="CA58" s="35">
        <f t="shared" si="37"/>
        <v>649.93325709756004</v>
      </c>
      <c r="CB58" s="35">
        <f>SUMIF('5 Year Supply Plan'!A:A,'JZ_BRAND SPLITS'!C58,'5 Year Supply Plan'!AS:AS)</f>
        <v>248220</v>
      </c>
      <c r="CC58" s="35">
        <f t="shared" si="38"/>
        <v>594.28735173525706</v>
      </c>
      <c r="CD58" s="35">
        <f>SUMIF('5 Year Supply Plan'!A:A,'JZ_BRAND SPLITS'!C58,'5 Year Supply Plan'!AT:AT)</f>
        <v>270139</v>
      </c>
      <c r="CE58" s="35">
        <f t="shared" si="39"/>
        <v>646.76573567968171</v>
      </c>
      <c r="CF58" s="35">
        <f>SUMIF('5 Year Supply Plan'!A:A,'JZ_BRAND SPLITS'!C58,'5 Year Supply Plan'!AU:AU)</f>
        <v>260060</v>
      </c>
      <c r="CG58" s="35">
        <f t="shared" si="40"/>
        <v>622.63463335859694</v>
      </c>
      <c r="CH58" s="35">
        <f>SUMIF('5 Year Supply Plan'!A:A,'JZ_BRAND SPLITS'!C58,'5 Year Supply Plan'!AV:AV)</f>
        <v>292625</v>
      </c>
      <c r="CI58" s="35">
        <f t="shared" si="41"/>
        <v>700.60162880319706</v>
      </c>
      <c r="CJ58" s="35">
        <f>SUMIF('5 Year Supply Plan'!A:A,'JZ_BRAND SPLITS'!C58,'5 Year Supply Plan'!AW:AW)</f>
        <v>292583</v>
      </c>
      <c r="CK58" s="35">
        <f t="shared" si="42"/>
        <v>700.50107256770889</v>
      </c>
      <c r="CL58" s="35">
        <f>SUMIF('5 Year Supply Plan'!A:A,'JZ_BRAND SPLITS'!C58,'5 Year Supply Plan'!AX:AX)</f>
        <v>270884</v>
      </c>
      <c r="CM58" s="35">
        <f t="shared" si="43"/>
        <v>648.54941176155569</v>
      </c>
      <c r="CN58" s="35">
        <f>SUMIF('5 Year Supply Plan'!A:A,'JZ_BRAND SPLITS'!C58,'5 Year Supply Plan'!AY:AY)</f>
        <v>296770</v>
      </c>
      <c r="CO58" s="35">
        <f t="shared" si="44"/>
        <v>710.52557156744911</v>
      </c>
      <c r="CP58" s="35">
        <f>SUMIF('5 Year Supply Plan'!A:A,'JZ_BRAND SPLITS'!C58,'5 Year Supply Plan'!AZ:AZ)</f>
        <v>304182</v>
      </c>
      <c r="CQ58" s="35">
        <f t="shared" si="45"/>
        <v>728.27135293503329</v>
      </c>
      <c r="CR58" s="35">
        <f>SUMIF('5 Year Supply Plan'!A:A,'JZ_BRAND SPLITS'!C58,'5 Year Supply Plan'!BA:BA)</f>
        <v>270299</v>
      </c>
      <c r="CS58" s="35">
        <f t="shared" si="46"/>
        <v>647.14880705297014</v>
      </c>
      <c r="CT58" s="35">
        <f>SUMIF('5 Year Supply Plan'!A:A,'JZ_BRAND SPLITS'!C58,'5 Year Supply Plan'!BB:BB)</f>
        <v>260430</v>
      </c>
      <c r="CU58" s="35">
        <f t="shared" si="47"/>
        <v>623.52048590932634</v>
      </c>
      <c r="CV58" s="35">
        <f>SUMIF('5 Year Supply Plan'!A:A,'JZ_BRAND SPLITS'!C58,'5 Year Supply Plan'!BC:BC)</f>
        <v>293803</v>
      </c>
      <c r="CW58" s="35">
        <f t="shared" si="48"/>
        <v>703.42199178903275</v>
      </c>
      <c r="CX58" s="35">
        <f>SUMIF('5 Year Supply Plan'!A:A,'JZ_BRAND SPLITS'!C58,'5 Year Supply Plan'!BD:BD)</f>
        <v>288585</v>
      </c>
      <c r="CY58" s="35">
        <f t="shared" si="49"/>
        <v>690.92907662766561</v>
      </c>
      <c r="CZ58" s="35">
        <f>SUMIF('5 Year Supply Plan'!A:A,'JZ_BRAND SPLITS'!C58,'5 Year Supply Plan'!BE:BE)</f>
        <v>263597</v>
      </c>
      <c r="DA58" s="35">
        <f t="shared" si="50"/>
        <v>631.10290490435318</v>
      </c>
      <c r="DB58" s="35">
        <f>SUMIF('5 Year Supply Plan'!A:A,'JZ_BRAND SPLITS'!C58,'5 Year Supply Plan'!BF:BF)</f>
        <v>286459</v>
      </c>
      <c r="DC58" s="35">
        <f t="shared" si="51"/>
        <v>685.83901575509628</v>
      </c>
      <c r="DD58" s="35">
        <f>SUMIF('5 Year Supply Plan'!A:A,'JZ_BRAND SPLITS'!C58,'5 Year Supply Plan'!BG:BG)</f>
        <v>276137</v>
      </c>
      <c r="DE58" s="35">
        <f t="shared" si="52"/>
        <v>661.1261237858298</v>
      </c>
      <c r="DF58" s="35">
        <f>SUMIF('5 Year Supply Plan'!A:A,'JZ_BRAND SPLITS'!C58,'5 Year Supply Plan'!BH:BH)</f>
        <v>313286</v>
      </c>
      <c r="DG58" s="35">
        <f t="shared" si="53"/>
        <v>750.06811407514192</v>
      </c>
      <c r="DH58" s="35">
        <f>SUMIF('5 Year Supply Plan'!A:A,'JZ_BRAND SPLITS'!C58,'5 Year Supply Plan'!BI:BI)</f>
        <v>329625</v>
      </c>
      <c r="DI58" s="35">
        <f t="shared" si="54"/>
        <v>789.18688387613452</v>
      </c>
      <c r="DJ58" s="35">
        <f>SUMIF('5 Year Supply Plan'!A:A,'JZ_BRAND SPLITS'!C58,'5 Year Supply Plan'!BJ:BJ)</f>
        <v>307203</v>
      </c>
      <c r="DK58" s="35">
        <f t="shared" si="55"/>
        <v>735.50421930193443</v>
      </c>
      <c r="DL58" s="35">
        <f>SUMIF('5 Year Supply Plan'!A:A,'JZ_BRAND SPLITS'!C58,'5 Year Supply Plan'!BK:BK)</f>
        <v>302051</v>
      </c>
      <c r="DM58" s="35">
        <f t="shared" si="56"/>
        <v>723.16932108204867</v>
      </c>
      <c r="DN58" s="42">
        <f>SUMIF('5 Year Supply Plan'!A:A,'JZ_BRAND SPLITS'!C58,'5 Year Supply Plan'!BL:BL)</f>
        <v>308525</v>
      </c>
      <c r="DO58" s="35">
        <f t="shared" si="57"/>
        <v>738.6693465237297</v>
      </c>
      <c r="DP58" s="35">
        <f>SUMIF('5 Year Supply Plan'!A:A,'JZ_BRAND SPLITS'!C58,'5 Year Supply Plan'!BM:BM)</f>
        <v>295867.875</v>
      </c>
      <c r="DQ58" s="35">
        <f t="shared" si="58"/>
        <v>708.36570742602555</v>
      </c>
      <c r="DR58" s="35">
        <f>SUMIF('5 Year Supply Plan'!A:A,'JZ_BRAND SPLITS'!C58,'5 Year Supply Plan'!BN:BN)</f>
        <v>295867.875</v>
      </c>
      <c r="DS58" s="35">
        <f t="shared" si="59"/>
        <v>708.36570742602555</v>
      </c>
      <c r="DT58" s="39">
        <f t="shared" si="60"/>
        <v>37101.460972762994</v>
      </c>
      <c r="DU58" s="36">
        <f>SUMIF('5 Year Supply Plan'!A:A,'JZ_BRAND SPLITS'!C58,'5 Year Supply Plan'!BO:BO)</f>
        <v>15496417.037597999</v>
      </c>
    </row>
    <row r="59" spans="1:125" x14ac:dyDescent="0.25">
      <c r="A59" s="40" t="s">
        <v>278</v>
      </c>
      <c r="B59" s="40" t="s">
        <v>275</v>
      </c>
      <c r="C59" s="40" t="s">
        <v>110</v>
      </c>
      <c r="D59" s="40" t="str">
        <f t="shared" si="0"/>
        <v>E00DVISTA BRITE TIP (MODIFIED)</v>
      </c>
      <c r="E59" s="41">
        <v>1</v>
      </c>
      <c r="F59" s="35">
        <f>SUMIF('5 Year Supply Plan'!A:A,'JZ_BRAND SPLITS'!C59,'5 Year Supply Plan'!H:H)</f>
        <v>2205</v>
      </c>
      <c r="G59" s="35">
        <f t="shared" si="1"/>
        <v>2205</v>
      </c>
      <c r="H59" s="35">
        <f>SUMIF('5 Year Supply Plan'!A:A,'JZ_BRAND SPLITS'!C59,'5 Year Supply Plan'!I:I)</f>
        <v>2880</v>
      </c>
      <c r="I59" s="35">
        <f t="shared" si="2"/>
        <v>2880</v>
      </c>
      <c r="J59" s="35">
        <f>SUMIF('5 Year Supply Plan'!A:A,'JZ_BRAND SPLITS'!C59,'5 Year Supply Plan'!J:J)</f>
        <v>2400</v>
      </c>
      <c r="K59" s="35">
        <f t="shared" si="3"/>
        <v>2400</v>
      </c>
      <c r="L59" s="35">
        <f>SUMIF('5 Year Supply Plan'!A:A,'JZ_BRAND SPLITS'!C59,'5 Year Supply Plan'!K:K)</f>
        <v>1132</v>
      </c>
      <c r="M59" s="35">
        <f t="shared" si="4"/>
        <v>1132</v>
      </c>
      <c r="N59" s="35">
        <f>SUMIF('5 Year Supply Plan'!A:A,'JZ_BRAND SPLITS'!C59,'5 Year Supply Plan'!L:L)</f>
        <v>836</v>
      </c>
      <c r="O59" s="35">
        <f t="shared" si="5"/>
        <v>836</v>
      </c>
      <c r="P59" s="35">
        <f>SUMIF('5 Year Supply Plan'!A:A,'JZ_BRAND SPLITS'!C59,'5 Year Supply Plan'!M:M)</f>
        <v>1187</v>
      </c>
      <c r="Q59" s="35">
        <f t="shared" si="6"/>
        <v>1187</v>
      </c>
      <c r="R59" s="35">
        <f>SUMIF('5 Year Supply Plan'!A:A,'JZ_BRAND SPLITS'!C59,'5 Year Supply Plan'!N:N)</f>
        <v>1117</v>
      </c>
      <c r="S59" s="35">
        <f t="shared" si="7"/>
        <v>1117</v>
      </c>
      <c r="T59" s="35">
        <f>SUMIF('5 Year Supply Plan'!A:A,'JZ_BRAND SPLITS'!C59,'5 Year Supply Plan'!O:O)</f>
        <v>1171</v>
      </c>
      <c r="U59" s="35">
        <f t="shared" si="8"/>
        <v>1171</v>
      </c>
      <c r="V59" s="35">
        <f>SUMIF('5 Year Supply Plan'!A:A,'JZ_BRAND SPLITS'!C59,'5 Year Supply Plan'!P:P)</f>
        <v>617</v>
      </c>
      <c r="W59" s="35">
        <f t="shared" si="9"/>
        <v>617</v>
      </c>
      <c r="X59" s="35">
        <f>SUMIF('5 Year Supply Plan'!A:A,'JZ_BRAND SPLITS'!C59,'5 Year Supply Plan'!Q:Q)</f>
        <v>541</v>
      </c>
      <c r="Y59" s="35">
        <f t="shared" si="10"/>
        <v>541</v>
      </c>
      <c r="Z59" s="35">
        <f>SUMIF('5 Year Supply Plan'!A:A,'JZ_BRAND SPLITS'!C59,'5 Year Supply Plan'!R:R)</f>
        <v>496</v>
      </c>
      <c r="AA59" s="35">
        <f t="shared" si="11"/>
        <v>496</v>
      </c>
      <c r="AB59" s="35">
        <f>SUMIF('5 Year Supply Plan'!A:A,'JZ_BRAND SPLITS'!C59,'5 Year Supply Plan'!S:S)</f>
        <v>682</v>
      </c>
      <c r="AC59" s="35">
        <f t="shared" si="12"/>
        <v>682</v>
      </c>
      <c r="AD59" s="35">
        <f>SUMIF('5 Year Supply Plan'!A:A,'JZ_BRAND SPLITS'!C59,'5 Year Supply Plan'!T:T)</f>
        <v>570</v>
      </c>
      <c r="AE59" s="35">
        <f t="shared" si="13"/>
        <v>570</v>
      </c>
      <c r="AF59" s="35">
        <f>SUMIF('5 Year Supply Plan'!A:A,'JZ_BRAND SPLITS'!C59,'5 Year Supply Plan'!U:U)</f>
        <v>510</v>
      </c>
      <c r="AG59" s="35">
        <f t="shared" si="14"/>
        <v>510</v>
      </c>
      <c r="AH59" s="35">
        <f>SUMIF('5 Year Supply Plan'!A:A,'JZ_BRAND SPLITS'!C59,'5 Year Supply Plan'!V:V)</f>
        <v>568</v>
      </c>
      <c r="AI59" s="35">
        <f t="shared" si="15"/>
        <v>568</v>
      </c>
      <c r="AJ59" s="35">
        <f>SUMIF('5 Year Supply Plan'!A:A,'JZ_BRAND SPLITS'!C59,'5 Year Supply Plan'!W:W)</f>
        <v>513</v>
      </c>
      <c r="AK59" s="35">
        <f t="shared" si="16"/>
        <v>513</v>
      </c>
      <c r="AL59" s="35">
        <f>SUMIF('5 Year Supply Plan'!A:A,'JZ_BRAND SPLITS'!C59,'5 Year Supply Plan'!X:X)</f>
        <v>564</v>
      </c>
      <c r="AM59" s="35">
        <f t="shared" si="17"/>
        <v>564</v>
      </c>
      <c r="AN59" s="35">
        <f>SUMIF('5 Year Supply Plan'!A:A,'JZ_BRAND SPLITS'!C59,'5 Year Supply Plan'!Y:Y)</f>
        <v>567</v>
      </c>
      <c r="AO59" s="35">
        <f t="shared" si="18"/>
        <v>567</v>
      </c>
      <c r="AP59" s="35">
        <f>SUMIF('5 Year Supply Plan'!A:A,'JZ_BRAND SPLITS'!C59,'5 Year Supply Plan'!Z:Z)</f>
        <v>508</v>
      </c>
      <c r="AQ59" s="35">
        <f t="shared" si="19"/>
        <v>508</v>
      </c>
      <c r="AR59" s="35">
        <f>SUMIF('5 Year Supply Plan'!A:A,'JZ_BRAND SPLITS'!C59,'5 Year Supply Plan'!AA:AA)</f>
        <v>539</v>
      </c>
      <c r="AS59" s="35">
        <f t="shared" si="20"/>
        <v>539</v>
      </c>
      <c r="AT59" s="35">
        <f>SUMIF('5 Year Supply Plan'!A:A,'JZ_BRAND SPLITS'!C59,'5 Year Supply Plan'!AB:AB)</f>
        <v>605</v>
      </c>
      <c r="AU59" s="35">
        <f t="shared" si="21"/>
        <v>605</v>
      </c>
      <c r="AV59" s="35">
        <f>SUMIF('5 Year Supply Plan'!A:A,'JZ_BRAND SPLITS'!C59,'5 Year Supply Plan'!AC:AC)</f>
        <v>582</v>
      </c>
      <c r="AW59" s="35">
        <f t="shared" si="22"/>
        <v>582</v>
      </c>
      <c r="AX59" s="35">
        <f>SUMIF('5 Year Supply Plan'!A:A,'JZ_BRAND SPLITS'!C59,'5 Year Supply Plan'!AD:AD)</f>
        <v>532</v>
      </c>
      <c r="AY59" s="35">
        <f t="shared" si="23"/>
        <v>532</v>
      </c>
      <c r="AZ59" s="35">
        <f>SUMIF('5 Year Supply Plan'!A:A,'JZ_BRAND SPLITS'!C59,'5 Year Supply Plan'!AE:AE)</f>
        <v>732</v>
      </c>
      <c r="BA59" s="35">
        <f t="shared" si="24"/>
        <v>732</v>
      </c>
      <c r="BB59" s="35">
        <f>SUMIF('5 Year Supply Plan'!A:A,'JZ_BRAND SPLITS'!C59,'5 Year Supply Plan'!AF:AF)</f>
        <v>613</v>
      </c>
      <c r="BC59" s="35">
        <f t="shared" si="25"/>
        <v>613</v>
      </c>
      <c r="BD59" s="35">
        <f>SUMIF('5 Year Supply Plan'!A:A,'JZ_BRAND SPLITS'!C59,'5 Year Supply Plan'!AG:AG)</f>
        <v>548</v>
      </c>
      <c r="BE59" s="35">
        <f t="shared" si="26"/>
        <v>548</v>
      </c>
      <c r="BF59" s="35">
        <f>SUMIF('5 Year Supply Plan'!A:A,'JZ_BRAND SPLITS'!C59,'5 Year Supply Plan'!AH:AH)</f>
        <v>609</v>
      </c>
      <c r="BG59" s="35">
        <f t="shared" si="27"/>
        <v>609</v>
      </c>
      <c r="BH59" s="35">
        <f>SUMIF('5 Year Supply Plan'!A:A,'JZ_BRAND SPLITS'!C59,'5 Year Supply Plan'!AI:AI)</f>
        <v>551</v>
      </c>
      <c r="BI59" s="35">
        <f t="shared" si="28"/>
        <v>551</v>
      </c>
      <c r="BJ59" s="35">
        <f>SUMIF('5 Year Supply Plan'!A:A,'JZ_BRAND SPLITS'!C59,'5 Year Supply Plan'!AJ:AJ)</f>
        <v>607</v>
      </c>
      <c r="BK59" s="35">
        <f t="shared" si="29"/>
        <v>607</v>
      </c>
      <c r="BL59" s="35">
        <f>SUMIF('5 Year Supply Plan'!A:A,'JZ_BRAND SPLITS'!C59,'5 Year Supply Plan'!AK:AK)</f>
        <v>609</v>
      </c>
      <c r="BM59" s="35">
        <f t="shared" si="30"/>
        <v>609</v>
      </c>
      <c r="BN59" s="35">
        <f>SUMIF('5 Year Supply Plan'!A:A,'JZ_BRAND SPLITS'!C59,'5 Year Supply Plan'!AL:AL)</f>
        <v>545</v>
      </c>
      <c r="BO59" s="35">
        <f t="shared" si="31"/>
        <v>545</v>
      </c>
      <c r="BP59" s="35">
        <f>SUMIF('5 Year Supply Plan'!A:A,'JZ_BRAND SPLITS'!C59,'5 Year Supply Plan'!AM:AM)</f>
        <v>578</v>
      </c>
      <c r="BQ59" s="35">
        <f t="shared" si="32"/>
        <v>578</v>
      </c>
      <c r="BR59" s="35">
        <f>SUMIF('5 Year Supply Plan'!A:A,'JZ_BRAND SPLITS'!C59,'5 Year Supply Plan'!AN:AN)</f>
        <v>650</v>
      </c>
      <c r="BS59" s="35">
        <f t="shared" si="33"/>
        <v>650</v>
      </c>
      <c r="BT59" s="35">
        <f>SUMIF('5 Year Supply Plan'!A:A,'JZ_BRAND SPLITS'!C59,'5 Year Supply Plan'!AO:AO)</f>
        <v>623</v>
      </c>
      <c r="BU59" s="35">
        <f t="shared" si="34"/>
        <v>623</v>
      </c>
      <c r="BV59" s="35">
        <f>SUMIF('5 Year Supply Plan'!A:A,'JZ_BRAND SPLITS'!C59,'5 Year Supply Plan'!AP:AP)</f>
        <v>570</v>
      </c>
      <c r="BW59" s="35">
        <f t="shared" si="35"/>
        <v>570</v>
      </c>
      <c r="BX59" s="35">
        <f>SUMIF('5 Year Supply Plan'!A:A,'JZ_BRAND SPLITS'!C59,'5 Year Supply Plan'!AQ:AQ)</f>
        <v>784</v>
      </c>
      <c r="BY59" s="35">
        <f t="shared" si="36"/>
        <v>784</v>
      </c>
      <c r="BZ59" s="35">
        <f>SUMIF('5 Year Supply Plan'!A:A,'JZ_BRAND SPLITS'!C59,'5 Year Supply Plan'!AR:AR)</f>
        <v>656</v>
      </c>
      <c r="CA59" s="35">
        <f t="shared" si="37"/>
        <v>656</v>
      </c>
      <c r="CB59" s="35">
        <f>SUMIF('5 Year Supply Plan'!A:A,'JZ_BRAND SPLITS'!C59,'5 Year Supply Plan'!AS:AS)</f>
        <v>588</v>
      </c>
      <c r="CC59" s="35">
        <f t="shared" si="38"/>
        <v>588</v>
      </c>
      <c r="CD59" s="35">
        <f>SUMIF('5 Year Supply Plan'!A:A,'JZ_BRAND SPLITS'!C59,'5 Year Supply Plan'!AT:AT)</f>
        <v>652</v>
      </c>
      <c r="CE59" s="35">
        <f t="shared" si="39"/>
        <v>652</v>
      </c>
      <c r="CF59" s="35">
        <f>SUMIF('5 Year Supply Plan'!A:A,'JZ_BRAND SPLITS'!C59,'5 Year Supply Plan'!AU:AU)</f>
        <v>590</v>
      </c>
      <c r="CG59" s="35">
        <f t="shared" si="40"/>
        <v>590</v>
      </c>
      <c r="CH59" s="35">
        <f>SUMIF('5 Year Supply Plan'!A:A,'JZ_BRAND SPLITS'!C59,'5 Year Supply Plan'!AV:AV)</f>
        <v>650</v>
      </c>
      <c r="CI59" s="35">
        <f t="shared" si="41"/>
        <v>650</v>
      </c>
      <c r="CJ59" s="35">
        <f>SUMIF('5 Year Supply Plan'!A:A,'JZ_BRAND SPLITS'!C59,'5 Year Supply Plan'!AW:AW)</f>
        <v>651</v>
      </c>
      <c r="CK59" s="35">
        <f t="shared" si="42"/>
        <v>651</v>
      </c>
      <c r="CL59" s="35">
        <f>SUMIF('5 Year Supply Plan'!A:A,'JZ_BRAND SPLITS'!C59,'5 Year Supply Plan'!AX:AX)</f>
        <v>585</v>
      </c>
      <c r="CM59" s="35">
        <f t="shared" si="43"/>
        <v>585</v>
      </c>
      <c r="CN59" s="35">
        <f>SUMIF('5 Year Supply Plan'!A:A,'JZ_BRAND SPLITS'!C59,'5 Year Supply Plan'!AY:AY)</f>
        <v>620</v>
      </c>
      <c r="CO59" s="35">
        <f t="shared" si="44"/>
        <v>620</v>
      </c>
      <c r="CP59" s="35">
        <f>SUMIF('5 Year Supply Plan'!A:A,'JZ_BRAND SPLITS'!C59,'5 Year Supply Plan'!AZ:AZ)</f>
        <v>695</v>
      </c>
      <c r="CQ59" s="35">
        <f t="shared" si="45"/>
        <v>695</v>
      </c>
      <c r="CR59" s="35">
        <f>SUMIF('5 Year Supply Plan'!A:A,'JZ_BRAND SPLITS'!C59,'5 Year Supply Plan'!BA:BA)</f>
        <v>671</v>
      </c>
      <c r="CS59" s="35">
        <f t="shared" si="46"/>
        <v>671</v>
      </c>
      <c r="CT59" s="35">
        <f>SUMIF('5 Year Supply Plan'!A:A,'JZ_BRAND SPLITS'!C59,'5 Year Supply Plan'!BB:BB)</f>
        <v>612</v>
      </c>
      <c r="CU59" s="35">
        <f t="shared" si="47"/>
        <v>612</v>
      </c>
      <c r="CV59" s="35">
        <f>SUMIF('5 Year Supply Plan'!A:A,'JZ_BRAND SPLITS'!C59,'5 Year Supply Plan'!BC:BC)</f>
        <v>843</v>
      </c>
      <c r="CW59" s="35">
        <f t="shared" si="48"/>
        <v>843</v>
      </c>
      <c r="CX59" s="35">
        <f>SUMIF('5 Year Supply Plan'!A:A,'JZ_BRAND SPLITS'!C59,'5 Year Supply Plan'!BD:BD)</f>
        <v>706</v>
      </c>
      <c r="CY59" s="35">
        <f t="shared" si="49"/>
        <v>706</v>
      </c>
      <c r="CZ59" s="35">
        <f>SUMIF('5 Year Supply Plan'!A:A,'JZ_BRAND SPLITS'!C59,'5 Year Supply Plan'!BE:BE)</f>
        <v>631</v>
      </c>
      <c r="DA59" s="35">
        <f t="shared" si="50"/>
        <v>631</v>
      </c>
      <c r="DB59" s="35">
        <f>SUMIF('5 Year Supply Plan'!A:A,'JZ_BRAND SPLITS'!C59,'5 Year Supply Plan'!BF:BF)</f>
        <v>700</v>
      </c>
      <c r="DC59" s="35">
        <f t="shared" si="51"/>
        <v>700</v>
      </c>
      <c r="DD59" s="35">
        <f>SUMIF('5 Year Supply Plan'!A:A,'JZ_BRAND SPLITS'!C59,'5 Year Supply Plan'!BG:BG)</f>
        <v>635</v>
      </c>
      <c r="DE59" s="35">
        <f t="shared" si="52"/>
        <v>635</v>
      </c>
      <c r="DF59" s="35">
        <f>SUMIF('5 Year Supply Plan'!A:A,'JZ_BRAND SPLITS'!C59,'5 Year Supply Plan'!BH:BH)</f>
        <v>698</v>
      </c>
      <c r="DG59" s="35">
        <f t="shared" si="53"/>
        <v>698</v>
      </c>
      <c r="DH59" s="35">
        <f>SUMIF('5 Year Supply Plan'!A:A,'JZ_BRAND SPLITS'!C59,'5 Year Supply Plan'!BI:BI)</f>
        <v>707</v>
      </c>
      <c r="DI59" s="35">
        <f t="shared" si="54"/>
        <v>707</v>
      </c>
      <c r="DJ59" s="35">
        <f>SUMIF('5 Year Supply Plan'!A:A,'JZ_BRAND SPLITS'!C59,'5 Year Supply Plan'!BJ:BJ)</f>
        <v>846</v>
      </c>
      <c r="DK59" s="35">
        <f t="shared" si="55"/>
        <v>846</v>
      </c>
      <c r="DL59" s="35">
        <f>SUMIF('5 Year Supply Plan'!A:A,'JZ_BRAND SPLITS'!C59,'5 Year Supply Plan'!BK:BK)</f>
        <v>1414</v>
      </c>
      <c r="DM59" s="35">
        <f t="shared" si="56"/>
        <v>1414</v>
      </c>
      <c r="DN59" s="42">
        <f>SUMIF('5 Year Supply Plan'!A:A,'JZ_BRAND SPLITS'!C59,'5 Year Supply Plan'!BL:BL)</f>
        <v>2048</v>
      </c>
      <c r="DO59" s="35">
        <f t="shared" si="57"/>
        <v>2048</v>
      </c>
      <c r="DP59" s="35">
        <f>SUMIF('5 Year Supply Plan'!A:A,'JZ_BRAND SPLITS'!C59,'5 Year Supply Plan'!BM:BM)</f>
        <v>792.125</v>
      </c>
      <c r="DQ59" s="35">
        <f t="shared" si="58"/>
        <v>792.125</v>
      </c>
      <c r="DR59" s="35">
        <f>SUMIF('5 Year Supply Plan'!A:A,'JZ_BRAND SPLITS'!C59,'5 Year Supply Plan'!BN:BN)</f>
        <v>792.125</v>
      </c>
      <c r="DS59" s="35">
        <f t="shared" si="59"/>
        <v>792.125</v>
      </c>
      <c r="DT59" s="39">
        <f t="shared" si="60"/>
        <v>47123.25</v>
      </c>
      <c r="DU59" s="36">
        <f>SUMIF('5 Year Supply Plan'!A:A,'JZ_BRAND SPLITS'!C59,'5 Year Supply Plan'!BO:BO)</f>
        <v>47123.25</v>
      </c>
    </row>
    <row r="60" spans="1:125" x14ac:dyDescent="0.25">
      <c r="A60" s="40" t="s">
        <v>279</v>
      </c>
      <c r="B60" s="40" t="s">
        <v>275</v>
      </c>
      <c r="C60" s="40" t="s">
        <v>109</v>
      </c>
      <c r="D60" s="40" t="str">
        <f t="shared" si="0"/>
        <v>E01AVISTA BRITE TIP</v>
      </c>
      <c r="E60" s="41">
        <v>2.4611478750840257E-2</v>
      </c>
      <c r="F60" s="35">
        <f>SUMIF('5 Year Supply Plan'!A:A,'JZ_BRAND SPLITS'!C60,'5 Year Supply Plan'!H:H)</f>
        <v>280807.69677699998</v>
      </c>
      <c r="G60" s="35">
        <f t="shared" si="1"/>
        <v>6911.0926622995294</v>
      </c>
      <c r="H60" s="35">
        <f>SUMIF('5 Year Supply Plan'!A:A,'JZ_BRAND SPLITS'!C60,'5 Year Supply Plan'!I:I)</f>
        <v>333372.86914099997</v>
      </c>
      <c r="I60" s="35">
        <f t="shared" si="2"/>
        <v>8204.7992849703714</v>
      </c>
      <c r="J60" s="35">
        <f>SUMIF('5 Year Supply Plan'!A:A,'JZ_BRAND SPLITS'!C60,'5 Year Supply Plan'!J:J)</f>
        <v>277810.72168000002</v>
      </c>
      <c r="K60" s="35">
        <f t="shared" si="3"/>
        <v>6837.3326733829172</v>
      </c>
      <c r="L60" s="35">
        <f>SUMIF('5 Year Supply Plan'!A:A,'JZ_BRAND SPLITS'!C60,'5 Year Supply Plan'!K:K)</f>
        <v>221601</v>
      </c>
      <c r="M60" s="35">
        <f t="shared" si="4"/>
        <v>5453.9283026649518</v>
      </c>
      <c r="N60" s="35">
        <f>SUMIF('5 Year Supply Plan'!A:A,'JZ_BRAND SPLITS'!C60,'5 Year Supply Plan'!L:L)</f>
        <v>126362</v>
      </c>
      <c r="O60" s="35">
        <f t="shared" si="5"/>
        <v>3109.9556779136765</v>
      </c>
      <c r="P60" s="35">
        <f>SUMIF('5 Year Supply Plan'!A:A,'JZ_BRAND SPLITS'!C60,'5 Year Supply Plan'!M:M)</f>
        <v>213221</v>
      </c>
      <c r="Q60" s="35">
        <f t="shared" si="6"/>
        <v>5247.6841107329101</v>
      </c>
      <c r="R60" s="35">
        <f>SUMIF('5 Year Supply Plan'!A:A,'JZ_BRAND SPLITS'!C60,'5 Year Supply Plan'!N:N)</f>
        <v>224906</v>
      </c>
      <c r="S60" s="35">
        <f t="shared" si="7"/>
        <v>5535.2692399364787</v>
      </c>
      <c r="T60" s="35">
        <f>SUMIF('5 Year Supply Plan'!A:A,'JZ_BRAND SPLITS'!C60,'5 Year Supply Plan'!O:O)</f>
        <v>239513</v>
      </c>
      <c r="U60" s="35">
        <f t="shared" si="8"/>
        <v>5894.7691100500024</v>
      </c>
      <c r="V60" s="35">
        <f>SUMIF('5 Year Supply Plan'!A:A,'JZ_BRAND SPLITS'!C60,'5 Year Supply Plan'!P:P)</f>
        <v>230425</v>
      </c>
      <c r="W60" s="35">
        <f t="shared" si="9"/>
        <v>5671.0999911623667</v>
      </c>
      <c r="X60" s="35">
        <f>SUMIF('5 Year Supply Plan'!A:A,'JZ_BRAND SPLITS'!C60,'5 Year Supply Plan'!Q:Q)</f>
        <v>224980</v>
      </c>
      <c r="Y60" s="35">
        <f t="shared" si="10"/>
        <v>5537.0904893640409</v>
      </c>
      <c r="Z60" s="35">
        <f>SUMIF('5 Year Supply Plan'!A:A,'JZ_BRAND SPLITS'!C60,'5 Year Supply Plan'!R:R)</f>
        <v>218045</v>
      </c>
      <c r="AA60" s="35">
        <f t="shared" si="11"/>
        <v>5366.4098842269641</v>
      </c>
      <c r="AB60" s="35">
        <f>SUMIF('5 Year Supply Plan'!A:A,'JZ_BRAND SPLITS'!C60,'5 Year Supply Plan'!S:S)</f>
        <v>243932</v>
      </c>
      <c r="AC60" s="35">
        <f t="shared" si="12"/>
        <v>6003.527234649966</v>
      </c>
      <c r="AD60" s="35">
        <f>SUMIF('5 Year Supply Plan'!A:A,'JZ_BRAND SPLITS'!C60,'5 Year Supply Plan'!T:T)</f>
        <v>238049</v>
      </c>
      <c r="AE60" s="35">
        <f t="shared" si="13"/>
        <v>5858.7379051587723</v>
      </c>
      <c r="AF60" s="35">
        <f>SUMIF('5 Year Supply Plan'!A:A,'JZ_BRAND SPLITS'!C60,'5 Year Supply Plan'!U:U)</f>
        <v>218567</v>
      </c>
      <c r="AG60" s="35">
        <f t="shared" si="14"/>
        <v>5379.2570761349025</v>
      </c>
      <c r="AH60" s="35">
        <f>SUMIF('5 Year Supply Plan'!A:A,'JZ_BRAND SPLITS'!C60,'5 Year Supply Plan'!V:V)</f>
        <v>239317</v>
      </c>
      <c r="AI60" s="35">
        <f t="shared" si="15"/>
        <v>5889.9452602148376</v>
      </c>
      <c r="AJ60" s="35">
        <f>SUMIF('5 Year Supply Plan'!A:A,'JZ_BRAND SPLITS'!C60,'5 Year Supply Plan'!W:W)</f>
        <v>229421</v>
      </c>
      <c r="AK60" s="35">
        <f t="shared" si="16"/>
        <v>5646.3900664965222</v>
      </c>
      <c r="AL60" s="35">
        <f>SUMIF('5 Year Supply Plan'!A:A,'JZ_BRAND SPLITS'!C60,'5 Year Supply Plan'!X:X)</f>
        <v>259307</v>
      </c>
      <c r="AM60" s="35">
        <f t="shared" si="17"/>
        <v>6381.9287204441343</v>
      </c>
      <c r="AN60" s="35">
        <f>SUMIF('5 Year Supply Plan'!A:A,'JZ_BRAND SPLITS'!C60,'5 Year Supply Plan'!Y:Y)</f>
        <v>258943</v>
      </c>
      <c r="AO60" s="35">
        <f t="shared" si="18"/>
        <v>6372.9701421788286</v>
      </c>
      <c r="AP60" s="35">
        <f>SUMIF('5 Year Supply Plan'!A:A,'JZ_BRAND SPLITS'!C60,'5 Year Supply Plan'!Z:Z)</f>
        <v>237283</v>
      </c>
      <c r="AQ60" s="35">
        <f t="shared" si="19"/>
        <v>5839.8855124356287</v>
      </c>
      <c r="AR60" s="35">
        <f>SUMIF('5 Year Supply Plan'!A:A,'JZ_BRAND SPLITS'!C60,'5 Year Supply Plan'!AA:AA)</f>
        <v>261853</v>
      </c>
      <c r="AS60" s="35">
        <f t="shared" si="20"/>
        <v>6444.5895453437743</v>
      </c>
      <c r="AT60" s="35">
        <f>SUMIF('5 Year Supply Plan'!A:A,'JZ_BRAND SPLITS'!C60,'5 Year Supply Plan'!AB:AB)</f>
        <v>268354</v>
      </c>
      <c r="AU60" s="35">
        <f t="shared" si="21"/>
        <v>6604.5887687029863</v>
      </c>
      <c r="AV60" s="35">
        <f>SUMIF('5 Year Supply Plan'!A:A,'JZ_BRAND SPLITS'!C60,'5 Year Supply Plan'!AC:AC)</f>
        <v>237492</v>
      </c>
      <c r="AW60" s="35">
        <f t="shared" si="22"/>
        <v>5845.0293114945543</v>
      </c>
      <c r="AX60" s="35">
        <f>SUMIF('5 Year Supply Plan'!A:A,'JZ_BRAND SPLITS'!C60,'5 Year Supply Plan'!AD:AD)</f>
        <v>229614</v>
      </c>
      <c r="AY60" s="35">
        <f t="shared" si="23"/>
        <v>5651.1400818954344</v>
      </c>
      <c r="AZ60" s="35">
        <f>SUMIF('5 Year Supply Plan'!A:A,'JZ_BRAND SPLITS'!C60,'5 Year Supply Plan'!AE:AE)</f>
        <v>259190</v>
      </c>
      <c r="BA60" s="35">
        <f t="shared" si="24"/>
        <v>6379.0491774302864</v>
      </c>
      <c r="BB60" s="35">
        <f>SUMIF('5 Year Supply Plan'!A:A,'JZ_BRAND SPLITS'!C60,'5 Year Supply Plan'!AF:AF)</f>
        <v>253637</v>
      </c>
      <c r="BC60" s="35">
        <f t="shared" si="25"/>
        <v>6242.3816359268703</v>
      </c>
      <c r="BD60" s="35">
        <f>SUMIF('5 Year Supply Plan'!A:A,'JZ_BRAND SPLITS'!C60,'5 Year Supply Plan'!AG:AG)</f>
        <v>232371</v>
      </c>
      <c r="BE60" s="35">
        <f t="shared" si="26"/>
        <v>5718.9939288115011</v>
      </c>
      <c r="BF60" s="35">
        <f>SUMIF('5 Year Supply Plan'!A:A,'JZ_BRAND SPLITS'!C60,'5 Year Supply Plan'!AH:AH)</f>
        <v>253616</v>
      </c>
      <c r="BG60" s="35">
        <f t="shared" si="27"/>
        <v>6241.8647948731023</v>
      </c>
      <c r="BH60" s="35">
        <f>SUMIF('5 Year Supply Plan'!A:A,'JZ_BRAND SPLITS'!C60,'5 Year Supply Plan'!AI:AI)</f>
        <v>243593</v>
      </c>
      <c r="BI60" s="35">
        <f t="shared" si="28"/>
        <v>5995.1839433534305</v>
      </c>
      <c r="BJ60" s="35">
        <f>SUMIF('5 Year Supply Plan'!A:A,'JZ_BRAND SPLITS'!C60,'5 Year Supply Plan'!AJ:AJ)</f>
        <v>274674</v>
      </c>
      <c r="BK60" s="35">
        <f t="shared" si="29"/>
        <v>6760.1333144082964</v>
      </c>
      <c r="BL60" s="35">
        <f>SUMIF('5 Year Supply Plan'!A:A,'JZ_BRAND SPLITS'!C60,'5 Year Supply Plan'!AK:AK)</f>
        <v>274416</v>
      </c>
      <c r="BM60" s="35">
        <f t="shared" si="30"/>
        <v>6753.7835528905798</v>
      </c>
      <c r="BN60" s="35">
        <f>SUMIF('5 Year Supply Plan'!A:A,'JZ_BRAND SPLITS'!C60,'5 Year Supply Plan'!AL:AL)</f>
        <v>252580</v>
      </c>
      <c r="BO60" s="35">
        <f t="shared" si="31"/>
        <v>6216.3673028872317</v>
      </c>
      <c r="BP60" s="35">
        <f>SUMIF('5 Year Supply Plan'!A:A,'JZ_BRAND SPLITS'!C60,'5 Year Supply Plan'!AM:AM)</f>
        <v>278662</v>
      </c>
      <c r="BQ60" s="35">
        <f t="shared" si="32"/>
        <v>6858.2838916666478</v>
      </c>
      <c r="BR60" s="35">
        <f>SUMIF('5 Year Supply Plan'!A:A,'JZ_BRAND SPLITS'!C60,'5 Year Supply Plan'!AN:AN)</f>
        <v>285661</v>
      </c>
      <c r="BS60" s="35">
        <f t="shared" si="33"/>
        <v>7030.5396314437785</v>
      </c>
      <c r="BT60" s="35">
        <f>SUMIF('5 Year Supply Plan'!A:A,'JZ_BRAND SPLITS'!C60,'5 Year Supply Plan'!AO:AO)</f>
        <v>254215</v>
      </c>
      <c r="BU60" s="35">
        <f t="shared" si="34"/>
        <v>6256.6070706448563</v>
      </c>
      <c r="BV60" s="35">
        <f>SUMIF('5 Year Supply Plan'!A:A,'JZ_BRAND SPLITS'!C60,'5 Year Supply Plan'!AP:AP)</f>
        <v>245238</v>
      </c>
      <c r="BW60" s="35">
        <f t="shared" si="35"/>
        <v>6035.6698258985634</v>
      </c>
      <c r="BX60" s="35">
        <f>SUMIF('5 Year Supply Plan'!A:A,'JZ_BRAND SPLITS'!C60,'5 Year Supply Plan'!AQ:AQ)</f>
        <v>276727</v>
      </c>
      <c r="BY60" s="35">
        <f t="shared" si="36"/>
        <v>6810.6606802837714</v>
      </c>
      <c r="BZ60" s="35">
        <f>SUMIF('5 Year Supply Plan'!A:A,'JZ_BRAND SPLITS'!C60,'5 Year Supply Plan'!AR:AR)</f>
        <v>271462</v>
      </c>
      <c r="CA60" s="35">
        <f t="shared" si="37"/>
        <v>6681.0812446605978</v>
      </c>
      <c r="CB60" s="35">
        <f>SUMIF('5 Year Supply Plan'!A:A,'JZ_BRAND SPLITS'!C60,'5 Year Supply Plan'!AS:AS)</f>
        <v>248220</v>
      </c>
      <c r="CC60" s="35">
        <f t="shared" si="38"/>
        <v>6109.0612555335683</v>
      </c>
      <c r="CD60" s="35">
        <f>SUMIF('5 Year Supply Plan'!A:A,'JZ_BRAND SPLITS'!C60,'5 Year Supply Plan'!AT:AT)</f>
        <v>270139</v>
      </c>
      <c r="CE60" s="35">
        <f t="shared" si="39"/>
        <v>6648.5202582732363</v>
      </c>
      <c r="CF60" s="35">
        <f>SUMIF('5 Year Supply Plan'!A:A,'JZ_BRAND SPLITS'!C60,'5 Year Supply Plan'!AU:AU)</f>
        <v>260060</v>
      </c>
      <c r="CG60" s="35">
        <f t="shared" si="40"/>
        <v>6400.461163943517</v>
      </c>
      <c r="CH60" s="35">
        <f>SUMIF('5 Year Supply Plan'!A:A,'JZ_BRAND SPLITS'!C60,'5 Year Supply Plan'!AV:AV)</f>
        <v>292625</v>
      </c>
      <c r="CI60" s="35">
        <f t="shared" si="41"/>
        <v>7201.9339694646305</v>
      </c>
      <c r="CJ60" s="35">
        <f>SUMIF('5 Year Supply Plan'!A:A,'JZ_BRAND SPLITS'!C60,'5 Year Supply Plan'!AW:AW)</f>
        <v>292583</v>
      </c>
      <c r="CK60" s="35">
        <f t="shared" si="42"/>
        <v>7200.9002873570953</v>
      </c>
      <c r="CL60" s="35">
        <f>SUMIF('5 Year Supply Plan'!A:A,'JZ_BRAND SPLITS'!C60,'5 Year Supply Plan'!AX:AX)</f>
        <v>270884</v>
      </c>
      <c r="CM60" s="35">
        <f t="shared" si="43"/>
        <v>6666.8558099426118</v>
      </c>
      <c r="CN60" s="35">
        <f>SUMIF('5 Year Supply Plan'!A:A,'JZ_BRAND SPLITS'!C60,'5 Year Supply Plan'!AY:AY)</f>
        <v>296770</v>
      </c>
      <c r="CO60" s="35">
        <f t="shared" si="44"/>
        <v>7303.9485488868631</v>
      </c>
      <c r="CP60" s="35">
        <f>SUMIF('5 Year Supply Plan'!A:A,'JZ_BRAND SPLITS'!C60,'5 Year Supply Plan'!AZ:AZ)</f>
        <v>304182</v>
      </c>
      <c r="CQ60" s="35">
        <f t="shared" si="45"/>
        <v>7486.3688293880914</v>
      </c>
      <c r="CR60" s="35">
        <f>SUMIF('5 Year Supply Plan'!A:A,'JZ_BRAND SPLITS'!C60,'5 Year Supply Plan'!BA:BA)</f>
        <v>270299</v>
      </c>
      <c r="CS60" s="35">
        <f t="shared" si="46"/>
        <v>6652.458094873371</v>
      </c>
      <c r="CT60" s="35">
        <f>SUMIF('5 Year Supply Plan'!A:A,'JZ_BRAND SPLITS'!C60,'5 Year Supply Plan'!BB:BB)</f>
        <v>260430</v>
      </c>
      <c r="CU60" s="35">
        <f t="shared" si="47"/>
        <v>6409.5674110813279</v>
      </c>
      <c r="CV60" s="35">
        <f>SUMIF('5 Year Supply Plan'!A:A,'JZ_BRAND SPLITS'!C60,'5 Year Supply Plan'!BC:BC)</f>
        <v>293803</v>
      </c>
      <c r="CW60" s="35">
        <f t="shared" si="48"/>
        <v>7230.9262914331202</v>
      </c>
      <c r="CX60" s="35">
        <f>SUMIF('5 Year Supply Plan'!A:A,'JZ_BRAND SPLITS'!C60,'5 Year Supply Plan'!BD:BD)</f>
        <v>288585</v>
      </c>
      <c r="CY60" s="35">
        <f t="shared" si="49"/>
        <v>7102.5035953112356</v>
      </c>
      <c r="CZ60" s="35">
        <f>SUMIF('5 Year Supply Plan'!A:A,'JZ_BRAND SPLITS'!C60,'5 Year Supply Plan'!BE:BE)</f>
        <v>263597</v>
      </c>
      <c r="DA60" s="35">
        <f t="shared" si="50"/>
        <v>6487.5119642852396</v>
      </c>
      <c r="DB60" s="35">
        <f>SUMIF('5 Year Supply Plan'!A:A,'JZ_BRAND SPLITS'!C60,'5 Year Supply Plan'!BF:BF)</f>
        <v>286459</v>
      </c>
      <c r="DC60" s="35">
        <f t="shared" si="51"/>
        <v>7050.179591486949</v>
      </c>
      <c r="DD60" s="35">
        <f>SUMIF('5 Year Supply Plan'!A:A,'JZ_BRAND SPLITS'!C60,'5 Year Supply Plan'!BG:BG)</f>
        <v>276137</v>
      </c>
      <c r="DE60" s="35">
        <f t="shared" si="52"/>
        <v>6796.139907820776</v>
      </c>
      <c r="DF60" s="35">
        <f>SUMIF('5 Year Supply Plan'!A:A,'JZ_BRAND SPLITS'!C60,'5 Year Supply Plan'!BH:BH)</f>
        <v>313286</v>
      </c>
      <c r="DG60" s="35">
        <f t="shared" si="53"/>
        <v>7710.4317319357406</v>
      </c>
      <c r="DH60" s="35">
        <f>SUMIF('5 Year Supply Plan'!A:A,'JZ_BRAND SPLITS'!C60,'5 Year Supply Plan'!BI:BI)</f>
        <v>329625</v>
      </c>
      <c r="DI60" s="35">
        <f t="shared" si="54"/>
        <v>8112.5586832457202</v>
      </c>
      <c r="DJ60" s="35">
        <f>SUMIF('5 Year Supply Plan'!A:A,'JZ_BRAND SPLITS'!C60,'5 Year Supply Plan'!BJ:BJ)</f>
        <v>307203</v>
      </c>
      <c r="DK60" s="35">
        <f t="shared" si="55"/>
        <v>7560.7201066943799</v>
      </c>
      <c r="DL60" s="35">
        <f>SUMIF('5 Year Supply Plan'!A:A,'JZ_BRAND SPLITS'!C60,'5 Year Supply Plan'!BK:BK)</f>
        <v>302051</v>
      </c>
      <c r="DM60" s="35">
        <f t="shared" si="56"/>
        <v>7433.9217681700502</v>
      </c>
      <c r="DN60" s="42">
        <f>SUMIF('5 Year Supply Plan'!A:A,'JZ_BRAND SPLITS'!C60,'5 Year Supply Plan'!BL:BL)</f>
        <v>308525</v>
      </c>
      <c r="DO60" s="35">
        <f t="shared" si="57"/>
        <v>7593.2564816029908</v>
      </c>
      <c r="DP60" s="35">
        <f>SUMIF('5 Year Supply Plan'!A:A,'JZ_BRAND SPLITS'!C60,'5 Year Supply Plan'!BM:BM)</f>
        <v>295867.875</v>
      </c>
      <c r="DQ60" s="35">
        <f t="shared" si="58"/>
        <v>7281.7459186187616</v>
      </c>
      <c r="DR60" s="35">
        <f>SUMIF('5 Year Supply Plan'!A:A,'JZ_BRAND SPLITS'!C60,'5 Year Supply Plan'!BN:BN)</f>
        <v>295867.875</v>
      </c>
      <c r="DS60" s="35">
        <f t="shared" si="59"/>
        <v>7281.7459186187616</v>
      </c>
      <c r="DT60" s="39">
        <f t="shared" si="60"/>
        <v>381389.73863500217</v>
      </c>
      <c r="DU60" s="36">
        <f>SUMIF('5 Year Supply Plan'!A:A,'JZ_BRAND SPLITS'!C60,'5 Year Supply Plan'!BO:BO)</f>
        <v>15496417.037597999</v>
      </c>
    </row>
    <row r="61" spans="1:125" x14ac:dyDescent="0.25">
      <c r="A61" s="40" t="s">
        <v>280</v>
      </c>
      <c r="B61" s="40" t="s">
        <v>275</v>
      </c>
      <c r="C61" s="40" t="s">
        <v>109</v>
      </c>
      <c r="D61" s="40" t="str">
        <f t="shared" si="0"/>
        <v>E01BVISTA BRITE TIP</v>
      </c>
      <c r="E61" s="41">
        <v>0.54026168331088276</v>
      </c>
      <c r="F61" s="35">
        <f>SUMIF('5 Year Supply Plan'!A:A,'JZ_BRAND SPLITS'!C61,'5 Year Supply Plan'!H:H)</f>
        <v>280807.69677699998</v>
      </c>
      <c r="G61" s="35">
        <f t="shared" si="1"/>
        <v>151709.63894739395</v>
      </c>
      <c r="H61" s="35">
        <f>SUMIF('5 Year Supply Plan'!A:A,'JZ_BRAND SPLITS'!C61,'5 Year Supply Plan'!I:I)</f>
        <v>333372.86914099997</v>
      </c>
      <c r="I61" s="35">
        <f t="shared" si="2"/>
        <v>180108.58745229529</v>
      </c>
      <c r="J61" s="35">
        <f>SUMIF('5 Year Supply Plan'!A:A,'JZ_BRAND SPLITS'!C61,'5 Year Supply Plan'!J:J)</f>
        <v>277810.72168000002</v>
      </c>
      <c r="K61" s="35">
        <f t="shared" si="3"/>
        <v>150090.48813664797</v>
      </c>
      <c r="L61" s="35">
        <f>SUMIF('5 Year Supply Plan'!A:A,'JZ_BRAND SPLITS'!C61,'5 Year Supply Plan'!K:K)</f>
        <v>221601</v>
      </c>
      <c r="M61" s="35">
        <f t="shared" si="4"/>
        <v>119722.52928337493</v>
      </c>
      <c r="N61" s="35">
        <f>SUMIF('5 Year Supply Plan'!A:A,'JZ_BRAND SPLITS'!C61,'5 Year Supply Plan'!L:L)</f>
        <v>126362</v>
      </c>
      <c r="O61" s="35">
        <f t="shared" si="5"/>
        <v>68268.546826529768</v>
      </c>
      <c r="P61" s="35">
        <f>SUMIF('5 Year Supply Plan'!A:A,'JZ_BRAND SPLITS'!C61,'5 Year Supply Plan'!M:M)</f>
        <v>213221</v>
      </c>
      <c r="Q61" s="35">
        <f t="shared" si="6"/>
        <v>115195.13637722973</v>
      </c>
      <c r="R61" s="35">
        <f>SUMIF('5 Year Supply Plan'!A:A,'JZ_BRAND SPLITS'!C61,'5 Year Supply Plan'!N:N)</f>
        <v>224906</v>
      </c>
      <c r="S61" s="35">
        <f t="shared" si="7"/>
        <v>121508.0941467174</v>
      </c>
      <c r="T61" s="35">
        <f>SUMIF('5 Year Supply Plan'!A:A,'JZ_BRAND SPLITS'!C61,'5 Year Supply Plan'!O:O)</f>
        <v>239513</v>
      </c>
      <c r="U61" s="35">
        <f t="shared" si="8"/>
        <v>129399.69655483947</v>
      </c>
      <c r="V61" s="35">
        <f>SUMIF('5 Year Supply Plan'!A:A,'JZ_BRAND SPLITS'!C61,'5 Year Supply Plan'!P:P)</f>
        <v>230425</v>
      </c>
      <c r="W61" s="35">
        <f t="shared" si="9"/>
        <v>124489.79837691016</v>
      </c>
      <c r="X61" s="35">
        <f>SUMIF('5 Year Supply Plan'!A:A,'JZ_BRAND SPLITS'!C61,'5 Year Supply Plan'!Q:Q)</f>
        <v>224980</v>
      </c>
      <c r="Y61" s="35">
        <f t="shared" si="10"/>
        <v>121548.0735112824</v>
      </c>
      <c r="Z61" s="35">
        <f>SUMIF('5 Year Supply Plan'!A:A,'JZ_BRAND SPLITS'!C61,'5 Year Supply Plan'!R:R)</f>
        <v>218045</v>
      </c>
      <c r="AA61" s="35">
        <f t="shared" si="11"/>
        <v>117801.35873752143</v>
      </c>
      <c r="AB61" s="35">
        <f>SUMIF('5 Year Supply Plan'!A:A,'JZ_BRAND SPLITS'!C61,'5 Year Supply Plan'!S:S)</f>
        <v>243932</v>
      </c>
      <c r="AC61" s="35">
        <f t="shared" si="12"/>
        <v>131787.11293339025</v>
      </c>
      <c r="AD61" s="35">
        <f>SUMIF('5 Year Supply Plan'!A:A,'JZ_BRAND SPLITS'!C61,'5 Year Supply Plan'!T:T)</f>
        <v>238049</v>
      </c>
      <c r="AE61" s="35">
        <f t="shared" si="13"/>
        <v>128608.75345047233</v>
      </c>
      <c r="AF61" s="35">
        <f>SUMIF('5 Year Supply Plan'!A:A,'JZ_BRAND SPLITS'!C61,'5 Year Supply Plan'!U:U)</f>
        <v>218567</v>
      </c>
      <c r="AG61" s="35">
        <f t="shared" si="14"/>
        <v>118083.3753362097</v>
      </c>
      <c r="AH61" s="35">
        <f>SUMIF('5 Year Supply Plan'!A:A,'JZ_BRAND SPLITS'!C61,'5 Year Supply Plan'!V:V)</f>
        <v>239317</v>
      </c>
      <c r="AI61" s="35">
        <f t="shared" si="15"/>
        <v>129293.80526491052</v>
      </c>
      <c r="AJ61" s="35">
        <f>SUMIF('5 Year Supply Plan'!A:A,'JZ_BRAND SPLITS'!C61,'5 Year Supply Plan'!W:W)</f>
        <v>229421</v>
      </c>
      <c r="AK61" s="35">
        <f t="shared" si="16"/>
        <v>123947.37564686603</v>
      </c>
      <c r="AL61" s="35">
        <f>SUMIF('5 Year Supply Plan'!A:A,'JZ_BRAND SPLITS'!C61,'5 Year Supply Plan'!X:X)</f>
        <v>259307</v>
      </c>
      <c r="AM61" s="35">
        <f t="shared" si="17"/>
        <v>140093.63631429509</v>
      </c>
      <c r="AN61" s="35">
        <f>SUMIF('5 Year Supply Plan'!A:A,'JZ_BRAND SPLITS'!C61,'5 Year Supply Plan'!Y:Y)</f>
        <v>258943</v>
      </c>
      <c r="AO61" s="35">
        <f t="shared" si="18"/>
        <v>139896.98106156991</v>
      </c>
      <c r="AP61" s="35">
        <f>SUMIF('5 Year Supply Plan'!A:A,'JZ_BRAND SPLITS'!C61,'5 Year Supply Plan'!Z:Z)</f>
        <v>237283</v>
      </c>
      <c r="AQ61" s="35">
        <f t="shared" si="19"/>
        <v>128194.91300105619</v>
      </c>
      <c r="AR61" s="35">
        <f>SUMIF('5 Year Supply Plan'!A:A,'JZ_BRAND SPLITS'!C61,'5 Year Supply Plan'!AA:AA)</f>
        <v>261853</v>
      </c>
      <c r="AS61" s="35">
        <f t="shared" si="20"/>
        <v>141469.14256000458</v>
      </c>
      <c r="AT61" s="35">
        <f>SUMIF('5 Year Supply Plan'!A:A,'JZ_BRAND SPLITS'!C61,'5 Year Supply Plan'!AB:AB)</f>
        <v>268354</v>
      </c>
      <c r="AU61" s="35">
        <f t="shared" si="21"/>
        <v>144981.38376320864</v>
      </c>
      <c r="AV61" s="35">
        <f>SUMIF('5 Year Supply Plan'!A:A,'JZ_BRAND SPLITS'!C61,'5 Year Supply Plan'!AC:AC)</f>
        <v>237492</v>
      </c>
      <c r="AW61" s="35">
        <f t="shared" si="22"/>
        <v>128307.82769286817</v>
      </c>
      <c r="AX61" s="35">
        <f>SUMIF('5 Year Supply Plan'!A:A,'JZ_BRAND SPLITS'!C61,'5 Year Supply Plan'!AD:AD)</f>
        <v>229614</v>
      </c>
      <c r="AY61" s="35">
        <f t="shared" si="23"/>
        <v>124051.64615174504</v>
      </c>
      <c r="AZ61" s="35">
        <f>SUMIF('5 Year Supply Plan'!A:A,'JZ_BRAND SPLITS'!C61,'5 Year Supply Plan'!AE:AE)</f>
        <v>259190</v>
      </c>
      <c r="BA61" s="35">
        <f t="shared" si="24"/>
        <v>140030.4256973477</v>
      </c>
      <c r="BB61" s="35">
        <f>SUMIF('5 Year Supply Plan'!A:A,'JZ_BRAND SPLITS'!C61,'5 Year Supply Plan'!AF:AF)</f>
        <v>253637</v>
      </c>
      <c r="BC61" s="35">
        <f t="shared" si="25"/>
        <v>137030.35256992237</v>
      </c>
      <c r="BD61" s="35">
        <f>SUMIF('5 Year Supply Plan'!A:A,'JZ_BRAND SPLITS'!C61,'5 Year Supply Plan'!AG:AG)</f>
        <v>232371</v>
      </c>
      <c r="BE61" s="35">
        <f t="shared" si="26"/>
        <v>125541.14761263314</v>
      </c>
      <c r="BF61" s="35">
        <f>SUMIF('5 Year Supply Plan'!A:A,'JZ_BRAND SPLITS'!C61,'5 Year Supply Plan'!AH:AH)</f>
        <v>253616</v>
      </c>
      <c r="BG61" s="35">
        <f t="shared" si="27"/>
        <v>137019.00707457284</v>
      </c>
      <c r="BH61" s="35">
        <f>SUMIF('5 Year Supply Plan'!A:A,'JZ_BRAND SPLITS'!C61,'5 Year Supply Plan'!AI:AI)</f>
        <v>243593</v>
      </c>
      <c r="BI61" s="35">
        <f t="shared" si="28"/>
        <v>131603.96422274786</v>
      </c>
      <c r="BJ61" s="35">
        <f>SUMIF('5 Year Supply Plan'!A:A,'JZ_BRAND SPLITS'!C61,'5 Year Supply Plan'!AJ:AJ)</f>
        <v>274674</v>
      </c>
      <c r="BK61" s="35">
        <f t="shared" si="29"/>
        <v>148395.83760173342</v>
      </c>
      <c r="BL61" s="35">
        <f>SUMIF('5 Year Supply Plan'!A:A,'JZ_BRAND SPLITS'!C61,'5 Year Supply Plan'!AK:AK)</f>
        <v>274416</v>
      </c>
      <c r="BM61" s="35">
        <f t="shared" si="30"/>
        <v>148256.45008743921</v>
      </c>
      <c r="BN61" s="35">
        <f>SUMIF('5 Year Supply Plan'!A:A,'JZ_BRAND SPLITS'!C61,'5 Year Supply Plan'!AL:AL)</f>
        <v>252580</v>
      </c>
      <c r="BO61" s="35">
        <f t="shared" si="31"/>
        <v>136459.29597066276</v>
      </c>
      <c r="BP61" s="35">
        <f>SUMIF('5 Year Supply Plan'!A:A,'JZ_BRAND SPLITS'!C61,'5 Year Supply Plan'!AM:AM)</f>
        <v>278662</v>
      </c>
      <c r="BQ61" s="35">
        <f t="shared" si="32"/>
        <v>150550.40119477722</v>
      </c>
      <c r="BR61" s="35">
        <f>SUMIF('5 Year Supply Plan'!A:A,'JZ_BRAND SPLITS'!C61,'5 Year Supply Plan'!AN:AN)</f>
        <v>285661</v>
      </c>
      <c r="BS61" s="35">
        <f t="shared" si="33"/>
        <v>154331.69271627007</v>
      </c>
      <c r="BT61" s="35">
        <f>SUMIF('5 Year Supply Plan'!A:A,'JZ_BRAND SPLITS'!C61,'5 Year Supply Plan'!AO:AO)</f>
        <v>254215</v>
      </c>
      <c r="BU61" s="35">
        <f t="shared" si="34"/>
        <v>137342.62382287605</v>
      </c>
      <c r="BV61" s="35">
        <f>SUMIF('5 Year Supply Plan'!A:A,'JZ_BRAND SPLITS'!C61,'5 Year Supply Plan'!AP:AP)</f>
        <v>245238</v>
      </c>
      <c r="BW61" s="35">
        <f t="shared" si="35"/>
        <v>132492.69469179426</v>
      </c>
      <c r="BX61" s="35">
        <f>SUMIF('5 Year Supply Plan'!A:A,'JZ_BRAND SPLITS'!C61,'5 Year Supply Plan'!AQ:AQ)</f>
        <v>276727</v>
      </c>
      <c r="BY61" s="35">
        <f t="shared" si="36"/>
        <v>149504.99483757064</v>
      </c>
      <c r="BZ61" s="35">
        <f>SUMIF('5 Year Supply Plan'!A:A,'JZ_BRAND SPLITS'!C61,'5 Year Supply Plan'!AR:AR)</f>
        <v>271462</v>
      </c>
      <c r="CA61" s="35">
        <f t="shared" si="37"/>
        <v>146660.51707493886</v>
      </c>
      <c r="CB61" s="35">
        <f>SUMIF('5 Year Supply Plan'!A:A,'JZ_BRAND SPLITS'!C61,'5 Year Supply Plan'!AS:AS)</f>
        <v>248220</v>
      </c>
      <c r="CC61" s="35">
        <f t="shared" si="38"/>
        <v>134103.75503142731</v>
      </c>
      <c r="CD61" s="35">
        <f>SUMIF('5 Year Supply Plan'!A:A,'JZ_BRAND SPLITS'!C61,'5 Year Supply Plan'!AT:AT)</f>
        <v>270139</v>
      </c>
      <c r="CE61" s="35">
        <f t="shared" si="39"/>
        <v>145945.75086791857</v>
      </c>
      <c r="CF61" s="35">
        <f>SUMIF('5 Year Supply Plan'!A:A,'JZ_BRAND SPLITS'!C61,'5 Year Supply Plan'!AU:AU)</f>
        <v>260060</v>
      </c>
      <c r="CG61" s="35">
        <f t="shared" si="40"/>
        <v>140500.45336182817</v>
      </c>
      <c r="CH61" s="35">
        <f>SUMIF('5 Year Supply Plan'!A:A,'JZ_BRAND SPLITS'!C61,'5 Year Supply Plan'!AV:AV)</f>
        <v>292625</v>
      </c>
      <c r="CI61" s="35">
        <f t="shared" si="41"/>
        <v>158094.07507884706</v>
      </c>
      <c r="CJ61" s="35">
        <f>SUMIF('5 Year Supply Plan'!A:A,'JZ_BRAND SPLITS'!C61,'5 Year Supply Plan'!AW:AW)</f>
        <v>292583</v>
      </c>
      <c r="CK61" s="35">
        <f t="shared" si="42"/>
        <v>158071.38408814801</v>
      </c>
      <c r="CL61" s="35">
        <f>SUMIF('5 Year Supply Plan'!A:A,'JZ_BRAND SPLITS'!C61,'5 Year Supply Plan'!AX:AX)</f>
        <v>270884</v>
      </c>
      <c r="CM61" s="35">
        <f t="shared" si="43"/>
        <v>146348.24582198515</v>
      </c>
      <c r="CN61" s="35">
        <f>SUMIF('5 Year Supply Plan'!A:A,'JZ_BRAND SPLITS'!C61,'5 Year Supply Plan'!AY:AY)</f>
        <v>296770</v>
      </c>
      <c r="CO61" s="35">
        <f t="shared" si="44"/>
        <v>160333.45975617066</v>
      </c>
      <c r="CP61" s="35">
        <f>SUMIF('5 Year Supply Plan'!A:A,'JZ_BRAND SPLITS'!C61,'5 Year Supply Plan'!AZ:AZ)</f>
        <v>304182</v>
      </c>
      <c r="CQ61" s="35">
        <f t="shared" si="45"/>
        <v>164337.87935287095</v>
      </c>
      <c r="CR61" s="35">
        <f>SUMIF('5 Year Supply Plan'!A:A,'JZ_BRAND SPLITS'!C61,'5 Year Supply Plan'!BA:BA)</f>
        <v>270299</v>
      </c>
      <c r="CS61" s="35">
        <f t="shared" si="46"/>
        <v>146032.19273724829</v>
      </c>
      <c r="CT61" s="35">
        <f>SUMIF('5 Year Supply Plan'!A:A,'JZ_BRAND SPLITS'!C61,'5 Year Supply Plan'!BB:BB)</f>
        <v>260430</v>
      </c>
      <c r="CU61" s="35">
        <f t="shared" si="47"/>
        <v>140700.35018465319</v>
      </c>
      <c r="CV61" s="35">
        <f>SUMIF('5 Year Supply Plan'!A:A,'JZ_BRAND SPLITS'!C61,'5 Year Supply Plan'!BC:BC)</f>
        <v>293803</v>
      </c>
      <c r="CW61" s="35">
        <f t="shared" si="48"/>
        <v>158730.50334178729</v>
      </c>
      <c r="CX61" s="35">
        <f>SUMIF('5 Year Supply Plan'!A:A,'JZ_BRAND SPLITS'!C61,'5 Year Supply Plan'!BD:BD)</f>
        <v>288585</v>
      </c>
      <c r="CY61" s="35">
        <f t="shared" si="49"/>
        <v>155911.41787827111</v>
      </c>
      <c r="CZ61" s="35">
        <f>SUMIF('5 Year Supply Plan'!A:A,'JZ_BRAND SPLITS'!C61,'5 Year Supply Plan'!BE:BE)</f>
        <v>263597</v>
      </c>
      <c r="DA61" s="35">
        <f t="shared" si="50"/>
        <v>142411.35893569875</v>
      </c>
      <c r="DB61" s="35">
        <f>SUMIF('5 Year Supply Plan'!A:A,'JZ_BRAND SPLITS'!C61,'5 Year Supply Plan'!BF:BF)</f>
        <v>286459</v>
      </c>
      <c r="DC61" s="35">
        <f t="shared" si="51"/>
        <v>154762.82153955215</v>
      </c>
      <c r="DD61" s="35">
        <f>SUMIF('5 Year Supply Plan'!A:A,'JZ_BRAND SPLITS'!C61,'5 Year Supply Plan'!BG:BG)</f>
        <v>276137</v>
      </c>
      <c r="DE61" s="35">
        <f t="shared" si="52"/>
        <v>149186.24044441723</v>
      </c>
      <c r="DF61" s="35">
        <f>SUMIF('5 Year Supply Plan'!A:A,'JZ_BRAND SPLITS'!C61,'5 Year Supply Plan'!BH:BH)</f>
        <v>313286</v>
      </c>
      <c r="DG61" s="35">
        <f t="shared" si="53"/>
        <v>169256.4217177332</v>
      </c>
      <c r="DH61" s="35">
        <f>SUMIF('5 Year Supply Plan'!A:A,'JZ_BRAND SPLITS'!C61,'5 Year Supply Plan'!BI:BI)</f>
        <v>329625</v>
      </c>
      <c r="DI61" s="35">
        <f t="shared" si="54"/>
        <v>178083.75736134974</v>
      </c>
      <c r="DJ61" s="35">
        <f>SUMIF('5 Year Supply Plan'!A:A,'JZ_BRAND SPLITS'!C61,'5 Year Supply Plan'!BJ:BJ)</f>
        <v>307203</v>
      </c>
      <c r="DK61" s="35">
        <f t="shared" si="55"/>
        <v>165970.0098981531</v>
      </c>
      <c r="DL61" s="35">
        <f>SUMIF('5 Year Supply Plan'!A:A,'JZ_BRAND SPLITS'!C61,'5 Year Supply Plan'!BK:BK)</f>
        <v>302051</v>
      </c>
      <c r="DM61" s="35">
        <f t="shared" si="56"/>
        <v>163186.58170573544</v>
      </c>
      <c r="DN61" s="42">
        <f>SUMIF('5 Year Supply Plan'!A:A,'JZ_BRAND SPLITS'!C61,'5 Year Supply Plan'!BL:BL)</f>
        <v>308525</v>
      </c>
      <c r="DO61" s="35">
        <f t="shared" si="57"/>
        <v>166684.23584349011</v>
      </c>
      <c r="DP61" s="35">
        <f>SUMIF('5 Year Supply Plan'!A:A,'JZ_BRAND SPLITS'!C61,'5 Year Supply Plan'!BM:BM)</f>
        <v>295867.875</v>
      </c>
      <c r="DQ61" s="35">
        <f t="shared" si="58"/>
        <v>159846.07618511384</v>
      </c>
      <c r="DR61" s="35">
        <f>SUMIF('5 Year Supply Plan'!A:A,'JZ_BRAND SPLITS'!C61,'5 Year Supply Plan'!BN:BN)</f>
        <v>295867.875</v>
      </c>
      <c r="DS61" s="35">
        <f t="shared" si="59"/>
        <v>159846.07618511384</v>
      </c>
      <c r="DT61" s="39">
        <f t="shared" si="60"/>
        <v>8372120.3540201373</v>
      </c>
      <c r="DU61" s="36">
        <f>SUMIF('5 Year Supply Plan'!A:A,'JZ_BRAND SPLITS'!C61,'5 Year Supply Plan'!BO:BO)</f>
        <v>15496417.037597999</v>
      </c>
    </row>
    <row r="62" spans="1:125" x14ac:dyDescent="0.25">
      <c r="A62" s="40" t="s">
        <v>281</v>
      </c>
      <c r="B62" s="40" t="s">
        <v>275</v>
      </c>
      <c r="C62" s="40" t="s">
        <v>109</v>
      </c>
      <c r="D62" s="40" t="str">
        <f t="shared" si="0"/>
        <v>E02AVISTA BRITE TIP</v>
      </c>
      <c r="E62" s="41">
        <v>0.27812399293346168</v>
      </c>
      <c r="F62" s="35">
        <f>SUMIF('5 Year Supply Plan'!A:A,'JZ_BRAND SPLITS'!C62,'5 Year Supply Plan'!H:H)</f>
        <v>280807.69677699998</v>
      </c>
      <c r="G62" s="35">
        <f t="shared" si="1"/>
        <v>78099.357874067995</v>
      </c>
      <c r="H62" s="35">
        <f>SUMIF('5 Year Supply Plan'!A:A,'JZ_BRAND SPLITS'!C62,'5 Year Supply Plan'!I:I)</f>
        <v>333372.86914099997</v>
      </c>
      <c r="I62" s="35">
        <f t="shared" si="2"/>
        <v>92718.993501179328</v>
      </c>
      <c r="J62" s="35">
        <f>SUMIF('5 Year Supply Plan'!A:A,'JZ_BRAND SPLITS'!C62,'5 Year Supply Plan'!J:J)</f>
        <v>277810.72168000002</v>
      </c>
      <c r="K62" s="35">
        <f t="shared" si="3"/>
        <v>77265.827193368212</v>
      </c>
      <c r="L62" s="35">
        <f>SUMIF('5 Year Supply Plan'!A:A,'JZ_BRAND SPLITS'!C62,'5 Year Supply Plan'!K:K)</f>
        <v>221601</v>
      </c>
      <c r="M62" s="35">
        <f t="shared" si="4"/>
        <v>61632.554958048044</v>
      </c>
      <c r="N62" s="35">
        <f>SUMIF('5 Year Supply Plan'!A:A,'JZ_BRAND SPLITS'!C62,'5 Year Supply Plan'!L:L)</f>
        <v>126362</v>
      </c>
      <c r="O62" s="35">
        <f t="shared" si="5"/>
        <v>35144.303995058086</v>
      </c>
      <c r="P62" s="35">
        <f>SUMIF('5 Year Supply Plan'!A:A,'JZ_BRAND SPLITS'!C62,'5 Year Supply Plan'!M:M)</f>
        <v>213221</v>
      </c>
      <c r="Q62" s="35">
        <f t="shared" si="6"/>
        <v>59301.875897265636</v>
      </c>
      <c r="R62" s="35">
        <f>SUMIF('5 Year Supply Plan'!A:A,'JZ_BRAND SPLITS'!C62,'5 Year Supply Plan'!N:N)</f>
        <v>224906</v>
      </c>
      <c r="S62" s="35">
        <f t="shared" si="7"/>
        <v>62551.754754693131</v>
      </c>
      <c r="T62" s="35">
        <f>SUMIF('5 Year Supply Plan'!A:A,'JZ_BRAND SPLITS'!C62,'5 Year Supply Plan'!O:O)</f>
        <v>239513</v>
      </c>
      <c r="U62" s="35">
        <f t="shared" si="8"/>
        <v>66614.311919472209</v>
      </c>
      <c r="V62" s="35">
        <f>SUMIF('5 Year Supply Plan'!A:A,'JZ_BRAND SPLITS'!C62,'5 Year Supply Plan'!P:P)</f>
        <v>230425</v>
      </c>
      <c r="W62" s="35">
        <f t="shared" si="9"/>
        <v>64086.721071692911</v>
      </c>
      <c r="X62" s="35">
        <f>SUMIF('5 Year Supply Plan'!A:A,'JZ_BRAND SPLITS'!C62,'5 Year Supply Plan'!Q:Q)</f>
        <v>224980</v>
      </c>
      <c r="Y62" s="35">
        <f t="shared" si="10"/>
        <v>62572.335930170208</v>
      </c>
      <c r="Z62" s="35">
        <f>SUMIF('5 Year Supply Plan'!A:A,'JZ_BRAND SPLITS'!C62,'5 Year Supply Plan'!R:R)</f>
        <v>218045</v>
      </c>
      <c r="AA62" s="35">
        <f t="shared" si="11"/>
        <v>60643.546039176654</v>
      </c>
      <c r="AB62" s="35">
        <f>SUMIF('5 Year Supply Plan'!A:A,'JZ_BRAND SPLITS'!C62,'5 Year Supply Plan'!S:S)</f>
        <v>243932</v>
      </c>
      <c r="AC62" s="35">
        <f t="shared" si="12"/>
        <v>67843.34184424518</v>
      </c>
      <c r="AD62" s="35">
        <f>SUMIF('5 Year Supply Plan'!A:A,'JZ_BRAND SPLITS'!C62,'5 Year Supply Plan'!T:T)</f>
        <v>238049</v>
      </c>
      <c r="AE62" s="35">
        <f t="shared" si="13"/>
        <v>66207.138393817615</v>
      </c>
      <c r="AF62" s="35">
        <f>SUMIF('5 Year Supply Plan'!A:A,'JZ_BRAND SPLITS'!C62,'5 Year Supply Plan'!U:U)</f>
        <v>218567</v>
      </c>
      <c r="AG62" s="35">
        <f t="shared" si="14"/>
        <v>60788.726763487917</v>
      </c>
      <c r="AH62" s="35">
        <f>SUMIF('5 Year Supply Plan'!A:A,'JZ_BRAND SPLITS'!C62,'5 Year Supply Plan'!V:V)</f>
        <v>239317</v>
      </c>
      <c r="AI62" s="35">
        <f t="shared" si="15"/>
        <v>66559.799616857243</v>
      </c>
      <c r="AJ62" s="35">
        <f>SUMIF('5 Year Supply Plan'!A:A,'JZ_BRAND SPLITS'!C62,'5 Year Supply Plan'!W:W)</f>
        <v>229421</v>
      </c>
      <c r="AK62" s="35">
        <f t="shared" si="16"/>
        <v>63807.484582787714</v>
      </c>
      <c r="AL62" s="35">
        <f>SUMIF('5 Year Supply Plan'!A:A,'JZ_BRAND SPLITS'!C62,'5 Year Supply Plan'!X:X)</f>
        <v>259307</v>
      </c>
      <c r="AM62" s="35">
        <f t="shared" si="17"/>
        <v>72119.498235597144</v>
      </c>
      <c r="AN62" s="35">
        <f>SUMIF('5 Year Supply Plan'!A:A,'JZ_BRAND SPLITS'!C62,'5 Year Supply Plan'!Y:Y)</f>
        <v>258943</v>
      </c>
      <c r="AO62" s="35">
        <f t="shared" si="18"/>
        <v>72018.261102169374</v>
      </c>
      <c r="AP62" s="35">
        <f>SUMIF('5 Year Supply Plan'!A:A,'JZ_BRAND SPLITS'!C62,'5 Year Supply Plan'!Z:Z)</f>
        <v>237283</v>
      </c>
      <c r="AQ62" s="35">
        <f t="shared" si="19"/>
        <v>65994.095415230593</v>
      </c>
      <c r="AR62" s="35">
        <f>SUMIF('5 Year Supply Plan'!A:A,'JZ_BRAND SPLITS'!C62,'5 Year Supply Plan'!AA:AA)</f>
        <v>261853</v>
      </c>
      <c r="AS62" s="35">
        <f t="shared" si="20"/>
        <v>72827.601921605747</v>
      </c>
      <c r="AT62" s="35">
        <f>SUMIF('5 Year Supply Plan'!A:A,'JZ_BRAND SPLITS'!C62,'5 Year Supply Plan'!AB:AB)</f>
        <v>268354</v>
      </c>
      <c r="AU62" s="35">
        <f t="shared" si="21"/>
        <v>74635.685999666181</v>
      </c>
      <c r="AV62" s="35">
        <f>SUMIF('5 Year Supply Plan'!A:A,'JZ_BRAND SPLITS'!C62,'5 Year Supply Plan'!AC:AC)</f>
        <v>237492</v>
      </c>
      <c r="AW62" s="35">
        <f t="shared" si="22"/>
        <v>66052.223329753688</v>
      </c>
      <c r="AX62" s="35">
        <f>SUMIF('5 Year Supply Plan'!A:A,'JZ_BRAND SPLITS'!C62,'5 Year Supply Plan'!AD:AD)</f>
        <v>229614</v>
      </c>
      <c r="AY62" s="35">
        <f t="shared" si="23"/>
        <v>63861.162513423871</v>
      </c>
      <c r="AZ62" s="35">
        <f>SUMIF('5 Year Supply Plan'!A:A,'JZ_BRAND SPLITS'!C62,'5 Year Supply Plan'!AE:AE)</f>
        <v>259190</v>
      </c>
      <c r="BA62" s="35">
        <f t="shared" si="24"/>
        <v>72086.957728423935</v>
      </c>
      <c r="BB62" s="35">
        <f>SUMIF('5 Year Supply Plan'!A:A,'JZ_BRAND SPLITS'!C62,'5 Year Supply Plan'!AF:AF)</f>
        <v>253637</v>
      </c>
      <c r="BC62" s="35">
        <f t="shared" si="25"/>
        <v>70542.535195664415</v>
      </c>
      <c r="BD62" s="35">
        <f>SUMIF('5 Year Supply Plan'!A:A,'JZ_BRAND SPLITS'!C62,'5 Year Supply Plan'!AG:AG)</f>
        <v>232371</v>
      </c>
      <c r="BE62" s="35">
        <f t="shared" si="26"/>
        <v>64627.950361941424</v>
      </c>
      <c r="BF62" s="35">
        <f>SUMIF('5 Year Supply Plan'!A:A,'JZ_BRAND SPLITS'!C62,'5 Year Supply Plan'!AH:AH)</f>
        <v>253616</v>
      </c>
      <c r="BG62" s="35">
        <f t="shared" si="27"/>
        <v>70536.694591812819</v>
      </c>
      <c r="BH62" s="35">
        <f>SUMIF('5 Year Supply Plan'!A:A,'JZ_BRAND SPLITS'!C62,'5 Year Supply Plan'!AI:AI)</f>
        <v>243593</v>
      </c>
      <c r="BI62" s="35">
        <f t="shared" si="28"/>
        <v>67749.057810640734</v>
      </c>
      <c r="BJ62" s="35">
        <f>SUMIF('5 Year Supply Plan'!A:A,'JZ_BRAND SPLITS'!C62,'5 Year Supply Plan'!AJ:AJ)</f>
        <v>274674</v>
      </c>
      <c r="BK62" s="35">
        <f t="shared" si="29"/>
        <v>76393.429635005654</v>
      </c>
      <c r="BL62" s="35">
        <f>SUMIF('5 Year Supply Plan'!A:A,'JZ_BRAND SPLITS'!C62,'5 Year Supply Plan'!AK:AK)</f>
        <v>274416</v>
      </c>
      <c r="BM62" s="35">
        <f t="shared" si="30"/>
        <v>76321.673644828828</v>
      </c>
      <c r="BN62" s="35">
        <f>SUMIF('5 Year Supply Plan'!A:A,'JZ_BRAND SPLITS'!C62,'5 Year Supply Plan'!AL:AL)</f>
        <v>252580</v>
      </c>
      <c r="BO62" s="35">
        <f t="shared" si="31"/>
        <v>70248.558135133746</v>
      </c>
      <c r="BP62" s="35">
        <f>SUMIF('5 Year Supply Plan'!A:A,'JZ_BRAND SPLITS'!C62,'5 Year Supply Plan'!AM:AM)</f>
        <v>278662</v>
      </c>
      <c r="BQ62" s="35">
        <f t="shared" si="32"/>
        <v>77502.588118824293</v>
      </c>
      <c r="BR62" s="35">
        <f>SUMIF('5 Year Supply Plan'!A:A,'JZ_BRAND SPLITS'!C62,'5 Year Supply Plan'!AN:AN)</f>
        <v>285661</v>
      </c>
      <c r="BS62" s="35">
        <f t="shared" si="33"/>
        <v>79449.177945365591</v>
      </c>
      <c r="BT62" s="35">
        <f>SUMIF('5 Year Supply Plan'!A:A,'JZ_BRAND SPLITS'!C62,'5 Year Supply Plan'!AO:AO)</f>
        <v>254215</v>
      </c>
      <c r="BU62" s="35">
        <f t="shared" si="34"/>
        <v>70703.290863579969</v>
      </c>
      <c r="BV62" s="35">
        <f>SUMIF('5 Year Supply Plan'!A:A,'JZ_BRAND SPLITS'!C62,'5 Year Supply Plan'!AP:AP)</f>
        <v>245238</v>
      </c>
      <c r="BW62" s="35">
        <f t="shared" si="35"/>
        <v>68206.571779016274</v>
      </c>
      <c r="BX62" s="35">
        <f>SUMIF('5 Year Supply Plan'!A:A,'JZ_BRAND SPLITS'!C62,'5 Year Supply Plan'!AQ:AQ)</f>
        <v>276727</v>
      </c>
      <c r="BY62" s="35">
        <f t="shared" si="36"/>
        <v>76964.418192498051</v>
      </c>
      <c r="BZ62" s="35">
        <f>SUMIF('5 Year Supply Plan'!A:A,'JZ_BRAND SPLITS'!C62,'5 Year Supply Plan'!AR:AR)</f>
        <v>271462</v>
      </c>
      <c r="CA62" s="35">
        <f t="shared" si="37"/>
        <v>75500.095369703369</v>
      </c>
      <c r="CB62" s="35">
        <f>SUMIF('5 Year Supply Plan'!A:A,'JZ_BRAND SPLITS'!C62,'5 Year Supply Plan'!AS:AS)</f>
        <v>248220</v>
      </c>
      <c r="CC62" s="35">
        <f t="shared" si="38"/>
        <v>69035.937525943853</v>
      </c>
      <c r="CD62" s="35">
        <f>SUMIF('5 Year Supply Plan'!A:A,'JZ_BRAND SPLITS'!C62,'5 Year Supply Plan'!AT:AT)</f>
        <v>270139</v>
      </c>
      <c r="CE62" s="35">
        <f t="shared" si="39"/>
        <v>75132.137327052405</v>
      </c>
      <c r="CF62" s="35">
        <f>SUMIF('5 Year Supply Plan'!A:A,'JZ_BRAND SPLITS'!C62,'5 Year Supply Plan'!AU:AU)</f>
        <v>260060</v>
      </c>
      <c r="CG62" s="35">
        <f t="shared" si="40"/>
        <v>72328.925602276038</v>
      </c>
      <c r="CH62" s="35">
        <f>SUMIF('5 Year Supply Plan'!A:A,'JZ_BRAND SPLITS'!C62,'5 Year Supply Plan'!AV:AV)</f>
        <v>292625</v>
      </c>
      <c r="CI62" s="35">
        <f t="shared" si="41"/>
        <v>81386.033432154232</v>
      </c>
      <c r="CJ62" s="35">
        <f>SUMIF('5 Year Supply Plan'!A:A,'JZ_BRAND SPLITS'!C62,'5 Year Supply Plan'!AW:AW)</f>
        <v>292583</v>
      </c>
      <c r="CK62" s="35">
        <f t="shared" si="42"/>
        <v>81374.352224451024</v>
      </c>
      <c r="CL62" s="35">
        <f>SUMIF('5 Year Supply Plan'!A:A,'JZ_BRAND SPLITS'!C62,'5 Year Supply Plan'!AX:AX)</f>
        <v>270884</v>
      </c>
      <c r="CM62" s="35">
        <f t="shared" si="43"/>
        <v>75339.339701787831</v>
      </c>
      <c r="CN62" s="35">
        <f>SUMIF('5 Year Supply Plan'!A:A,'JZ_BRAND SPLITS'!C62,'5 Year Supply Plan'!AY:AY)</f>
        <v>296770</v>
      </c>
      <c r="CO62" s="35">
        <f t="shared" si="44"/>
        <v>82538.857382863425</v>
      </c>
      <c r="CP62" s="35">
        <f>SUMIF('5 Year Supply Plan'!A:A,'JZ_BRAND SPLITS'!C62,'5 Year Supply Plan'!AZ:AZ)</f>
        <v>304182</v>
      </c>
      <c r="CQ62" s="35">
        <f t="shared" si="45"/>
        <v>84600.312418486239</v>
      </c>
      <c r="CR62" s="35">
        <f>SUMIF('5 Year Supply Plan'!A:A,'JZ_BRAND SPLITS'!C62,'5 Year Supply Plan'!BA:BA)</f>
        <v>270299</v>
      </c>
      <c r="CS62" s="35">
        <f t="shared" si="46"/>
        <v>75176.637165921755</v>
      </c>
      <c r="CT62" s="35">
        <f>SUMIF('5 Year Supply Plan'!A:A,'JZ_BRAND SPLITS'!C62,'5 Year Supply Plan'!BB:BB)</f>
        <v>260430</v>
      </c>
      <c r="CU62" s="35">
        <f t="shared" si="47"/>
        <v>72431.831479661429</v>
      </c>
      <c r="CV62" s="35">
        <f>SUMIF('5 Year Supply Plan'!A:A,'JZ_BRAND SPLITS'!C62,'5 Year Supply Plan'!BC:BC)</f>
        <v>293803</v>
      </c>
      <c r="CW62" s="35">
        <f t="shared" si="48"/>
        <v>81713.663495829838</v>
      </c>
      <c r="CX62" s="35">
        <f>SUMIF('5 Year Supply Plan'!A:A,'JZ_BRAND SPLITS'!C62,'5 Year Supply Plan'!BD:BD)</f>
        <v>288585</v>
      </c>
      <c r="CY62" s="35">
        <f t="shared" si="49"/>
        <v>80262.412500703038</v>
      </c>
      <c r="CZ62" s="35">
        <f>SUMIF('5 Year Supply Plan'!A:A,'JZ_BRAND SPLITS'!C62,'5 Year Supply Plan'!BE:BE)</f>
        <v>263597</v>
      </c>
      <c r="DA62" s="35">
        <f t="shared" si="50"/>
        <v>73312.650165281695</v>
      </c>
      <c r="DB62" s="35">
        <f>SUMIF('5 Year Supply Plan'!A:A,'JZ_BRAND SPLITS'!C62,'5 Year Supply Plan'!BF:BF)</f>
        <v>286459</v>
      </c>
      <c r="DC62" s="35">
        <f t="shared" si="51"/>
        <v>79671.120891726503</v>
      </c>
      <c r="DD62" s="35">
        <f>SUMIF('5 Year Supply Plan'!A:A,'JZ_BRAND SPLITS'!C62,'5 Year Supply Plan'!BG:BG)</f>
        <v>276137</v>
      </c>
      <c r="DE62" s="35">
        <f t="shared" si="52"/>
        <v>76800.325036667302</v>
      </c>
      <c r="DF62" s="35">
        <f>SUMIF('5 Year Supply Plan'!A:A,'JZ_BRAND SPLITS'!C62,'5 Year Supply Plan'!BH:BH)</f>
        <v>313286</v>
      </c>
      <c r="DG62" s="35">
        <f t="shared" si="53"/>
        <v>87132.353250152475</v>
      </c>
      <c r="DH62" s="35">
        <f>SUMIF('5 Year Supply Plan'!A:A,'JZ_BRAND SPLITS'!C62,'5 Year Supply Plan'!BI:BI)</f>
        <v>329625</v>
      </c>
      <c r="DI62" s="35">
        <f t="shared" si="54"/>
        <v>91676.621170692306</v>
      </c>
      <c r="DJ62" s="35">
        <f>SUMIF('5 Year Supply Plan'!A:A,'JZ_BRAND SPLITS'!C62,'5 Year Supply Plan'!BJ:BJ)</f>
        <v>307203</v>
      </c>
      <c r="DK62" s="35">
        <f t="shared" si="55"/>
        <v>85440.52500113823</v>
      </c>
      <c r="DL62" s="35">
        <f>SUMIF('5 Year Supply Plan'!A:A,'JZ_BRAND SPLITS'!C62,'5 Year Supply Plan'!BK:BK)</f>
        <v>302051</v>
      </c>
      <c r="DM62" s="35">
        <f t="shared" si="56"/>
        <v>84007.630189545031</v>
      </c>
      <c r="DN62" s="42">
        <f>SUMIF('5 Year Supply Plan'!A:A,'JZ_BRAND SPLITS'!C62,'5 Year Supply Plan'!BL:BL)</f>
        <v>308525</v>
      </c>
      <c r="DO62" s="35">
        <f t="shared" si="57"/>
        <v>85808.204919796262</v>
      </c>
      <c r="DP62" s="35">
        <f>SUMIF('5 Year Supply Plan'!A:A,'JZ_BRAND SPLITS'!C62,'5 Year Supply Plan'!BM:BM)</f>
        <v>295867.875</v>
      </c>
      <c r="DQ62" s="35">
        <f t="shared" si="58"/>
        <v>82287.954775738326</v>
      </c>
      <c r="DR62" s="35">
        <f>SUMIF('5 Year Supply Plan'!A:A,'JZ_BRAND SPLITS'!C62,'5 Year Supply Plan'!BN:BN)</f>
        <v>295867.875</v>
      </c>
      <c r="DS62" s="35">
        <f t="shared" si="59"/>
        <v>82287.954775738326</v>
      </c>
      <c r="DT62" s="39">
        <f t="shared" si="60"/>
        <v>4309925.3826588811</v>
      </c>
      <c r="DU62" s="36">
        <f>SUMIF('5 Year Supply Plan'!A:A,'JZ_BRAND SPLITS'!C62,'5 Year Supply Plan'!BO:BO)</f>
        <v>15496417.037597999</v>
      </c>
    </row>
    <row r="63" spans="1:125" x14ac:dyDescent="0.25">
      <c r="A63" s="40" t="s">
        <v>282</v>
      </c>
      <c r="B63" s="40" t="s">
        <v>275</v>
      </c>
      <c r="C63" s="40" t="s">
        <v>109</v>
      </c>
      <c r="D63" s="40" t="str">
        <f t="shared" si="0"/>
        <v>E02BVISTA BRITE TIP</v>
      </c>
      <c r="E63" s="41">
        <v>0.10820927166269875</v>
      </c>
      <c r="F63" s="35">
        <f>SUMIF('5 Year Supply Plan'!A:A,'JZ_BRAND SPLITS'!C63,'5 Year Supply Plan'!H:H)</f>
        <v>280807.69677699998</v>
      </c>
      <c r="G63" s="35">
        <f t="shared" si="1"/>
        <v>30385.996345519128</v>
      </c>
      <c r="H63" s="35">
        <f>SUMIF('5 Year Supply Plan'!A:A,'JZ_BRAND SPLITS'!C63,'5 Year Supply Plan'!I:I)</f>
        <v>333372.86914099997</v>
      </c>
      <c r="I63" s="35">
        <f t="shared" si="2"/>
        <v>36074.035361851791</v>
      </c>
      <c r="J63" s="35">
        <f>SUMIF('5 Year Supply Plan'!A:A,'JZ_BRAND SPLITS'!C63,'5 Year Supply Plan'!J:J)</f>
        <v>277810.72168000002</v>
      </c>
      <c r="K63" s="35">
        <f t="shared" si="3"/>
        <v>30061.695853081517</v>
      </c>
      <c r="L63" s="35">
        <f>SUMIF('5 Year Supply Plan'!A:A,'JZ_BRAND SPLITS'!C63,'5 Year Supply Plan'!K:K)</f>
        <v>221601</v>
      </c>
      <c r="M63" s="35">
        <f t="shared" si="4"/>
        <v>23979.282809725708</v>
      </c>
      <c r="N63" s="35">
        <f>SUMIF('5 Year Supply Plan'!A:A,'JZ_BRAND SPLITS'!C63,'5 Year Supply Plan'!L:L)</f>
        <v>126362</v>
      </c>
      <c r="O63" s="35">
        <f t="shared" si="5"/>
        <v>13673.539985841941</v>
      </c>
      <c r="P63" s="35">
        <f>SUMIF('5 Year Supply Plan'!A:A,'JZ_BRAND SPLITS'!C63,'5 Year Supply Plan'!M:M)</f>
        <v>213221</v>
      </c>
      <c r="Q63" s="35">
        <f t="shared" si="6"/>
        <v>23072.489113192292</v>
      </c>
      <c r="R63" s="35">
        <f>SUMIF('5 Year Supply Plan'!A:A,'JZ_BRAND SPLITS'!C63,'5 Year Supply Plan'!N:N)</f>
        <v>224906</v>
      </c>
      <c r="S63" s="35">
        <f t="shared" si="7"/>
        <v>24336.914452570927</v>
      </c>
      <c r="T63" s="35">
        <f>SUMIF('5 Year Supply Plan'!A:A,'JZ_BRAND SPLITS'!C63,'5 Year Supply Plan'!O:O)</f>
        <v>239513</v>
      </c>
      <c r="U63" s="35">
        <f t="shared" si="8"/>
        <v>25917.527283747968</v>
      </c>
      <c r="V63" s="35">
        <f>SUMIF('5 Year Supply Plan'!A:A,'JZ_BRAND SPLITS'!C63,'5 Year Supply Plan'!P:P)</f>
        <v>230425</v>
      </c>
      <c r="W63" s="35">
        <f t="shared" si="9"/>
        <v>24934.121422877361</v>
      </c>
      <c r="X63" s="35">
        <f>SUMIF('5 Year Supply Plan'!A:A,'JZ_BRAND SPLITS'!C63,'5 Year Supply Plan'!Q:Q)</f>
        <v>224980</v>
      </c>
      <c r="Y63" s="35">
        <f t="shared" si="10"/>
        <v>24344.921938673964</v>
      </c>
      <c r="Z63" s="35">
        <f>SUMIF('5 Year Supply Plan'!A:A,'JZ_BRAND SPLITS'!C63,'5 Year Supply Plan'!R:R)</f>
        <v>218045</v>
      </c>
      <c r="AA63" s="35">
        <f t="shared" si="11"/>
        <v>23594.490639693151</v>
      </c>
      <c r="AB63" s="35">
        <f>SUMIF('5 Year Supply Plan'!A:A,'JZ_BRAND SPLITS'!C63,'5 Year Supply Plan'!S:S)</f>
        <v>243932</v>
      </c>
      <c r="AC63" s="35">
        <f t="shared" si="12"/>
        <v>26395.704055225433</v>
      </c>
      <c r="AD63" s="35">
        <f>SUMIF('5 Year Supply Plan'!A:A,'JZ_BRAND SPLITS'!C63,'5 Year Supply Plan'!T:T)</f>
        <v>238049</v>
      </c>
      <c r="AE63" s="35">
        <f t="shared" si="13"/>
        <v>25759.108910033774</v>
      </c>
      <c r="AF63" s="35">
        <f>SUMIF('5 Year Supply Plan'!A:A,'JZ_BRAND SPLITS'!C63,'5 Year Supply Plan'!U:U)</f>
        <v>218567</v>
      </c>
      <c r="AG63" s="35">
        <f t="shared" si="14"/>
        <v>23650.975879501078</v>
      </c>
      <c r="AH63" s="35">
        <f>SUMIF('5 Year Supply Plan'!A:A,'JZ_BRAND SPLITS'!C63,'5 Year Supply Plan'!V:V)</f>
        <v>239317</v>
      </c>
      <c r="AI63" s="35">
        <f t="shared" si="15"/>
        <v>25896.318266502076</v>
      </c>
      <c r="AJ63" s="35">
        <f>SUMIF('5 Year Supply Plan'!A:A,'JZ_BRAND SPLITS'!C63,'5 Year Supply Plan'!W:W)</f>
        <v>229421</v>
      </c>
      <c r="AK63" s="35">
        <f t="shared" si="16"/>
        <v>24825.47931412801</v>
      </c>
      <c r="AL63" s="35">
        <f>SUMIF('5 Year Supply Plan'!A:A,'JZ_BRAND SPLITS'!C63,'5 Year Supply Plan'!X:X)</f>
        <v>259307</v>
      </c>
      <c r="AM63" s="35">
        <f t="shared" si="17"/>
        <v>28059.421607039425</v>
      </c>
      <c r="AN63" s="35">
        <f>SUMIF('5 Year Supply Plan'!A:A,'JZ_BRAND SPLITS'!C63,'5 Year Supply Plan'!Y:Y)</f>
        <v>258943</v>
      </c>
      <c r="AO63" s="35">
        <f t="shared" si="18"/>
        <v>28020.033432154203</v>
      </c>
      <c r="AP63" s="35">
        <f>SUMIF('5 Year Supply Plan'!A:A,'JZ_BRAND SPLITS'!C63,'5 Year Supply Plan'!Z:Z)</f>
        <v>237283</v>
      </c>
      <c r="AQ63" s="35">
        <f t="shared" si="19"/>
        <v>25676.220607940148</v>
      </c>
      <c r="AR63" s="35">
        <f>SUMIF('5 Year Supply Plan'!A:A,'JZ_BRAND SPLITS'!C63,'5 Year Supply Plan'!AA:AA)</f>
        <v>261853</v>
      </c>
      <c r="AS63" s="35">
        <f t="shared" si="20"/>
        <v>28334.922412692657</v>
      </c>
      <c r="AT63" s="35">
        <f>SUMIF('5 Year Supply Plan'!A:A,'JZ_BRAND SPLITS'!C63,'5 Year Supply Plan'!AB:AB)</f>
        <v>268354</v>
      </c>
      <c r="AU63" s="35">
        <f t="shared" si="21"/>
        <v>29038.39088777186</v>
      </c>
      <c r="AV63" s="35">
        <f>SUMIF('5 Year Supply Plan'!A:A,'JZ_BRAND SPLITS'!C63,'5 Year Supply Plan'!AC:AC)</f>
        <v>237492</v>
      </c>
      <c r="AW63" s="35">
        <f t="shared" si="22"/>
        <v>25698.836345717653</v>
      </c>
      <c r="AX63" s="35">
        <f>SUMIF('5 Year Supply Plan'!A:A,'JZ_BRAND SPLITS'!C63,'5 Year Supply Plan'!AD:AD)</f>
        <v>229614</v>
      </c>
      <c r="AY63" s="35">
        <f t="shared" si="23"/>
        <v>24846.363703558913</v>
      </c>
      <c r="AZ63" s="35">
        <f>SUMIF('5 Year Supply Plan'!A:A,'JZ_BRAND SPLITS'!C63,'5 Year Supply Plan'!AE:AE)</f>
        <v>259190</v>
      </c>
      <c r="BA63" s="35">
        <f t="shared" si="24"/>
        <v>28046.761122254891</v>
      </c>
      <c r="BB63" s="35">
        <f>SUMIF('5 Year Supply Plan'!A:A,'JZ_BRAND SPLITS'!C63,'5 Year Supply Plan'!AF:AF)</f>
        <v>253637</v>
      </c>
      <c r="BC63" s="35">
        <f t="shared" si="25"/>
        <v>27445.875036711925</v>
      </c>
      <c r="BD63" s="35">
        <f>SUMIF('5 Year Supply Plan'!A:A,'JZ_BRAND SPLITS'!C63,'5 Year Supply Plan'!AG:AG)</f>
        <v>232371</v>
      </c>
      <c r="BE63" s="35">
        <f t="shared" si="26"/>
        <v>25144.696665532971</v>
      </c>
      <c r="BF63" s="35">
        <f>SUMIF('5 Year Supply Plan'!A:A,'JZ_BRAND SPLITS'!C63,'5 Year Supply Plan'!AH:AH)</f>
        <v>253616</v>
      </c>
      <c r="BG63" s="35">
        <f t="shared" si="27"/>
        <v>27443.602642007008</v>
      </c>
      <c r="BH63" s="35">
        <f>SUMIF('5 Year Supply Plan'!A:A,'JZ_BRAND SPLITS'!C63,'5 Year Supply Plan'!AI:AI)</f>
        <v>243593</v>
      </c>
      <c r="BI63" s="35">
        <f t="shared" si="28"/>
        <v>26359.021112131777</v>
      </c>
      <c r="BJ63" s="35">
        <f>SUMIF('5 Year Supply Plan'!A:A,'JZ_BRAND SPLITS'!C63,'5 Year Supply Plan'!AJ:AJ)</f>
        <v>274674</v>
      </c>
      <c r="BK63" s="35">
        <f t="shared" si="29"/>
        <v>29722.273484680118</v>
      </c>
      <c r="BL63" s="35">
        <f>SUMIF('5 Year Supply Plan'!A:A,'JZ_BRAND SPLITS'!C63,'5 Year Supply Plan'!AK:AK)</f>
        <v>274416</v>
      </c>
      <c r="BM63" s="35">
        <f t="shared" si="30"/>
        <v>29694.355492591141</v>
      </c>
      <c r="BN63" s="35">
        <f>SUMIF('5 Year Supply Plan'!A:A,'JZ_BRAND SPLITS'!C63,'5 Year Supply Plan'!AL:AL)</f>
        <v>252580</v>
      </c>
      <c r="BO63" s="35">
        <f t="shared" si="31"/>
        <v>27331.497836564449</v>
      </c>
      <c r="BP63" s="35">
        <f>SUMIF('5 Year Supply Plan'!A:A,'JZ_BRAND SPLITS'!C63,'5 Year Supply Plan'!AM:AM)</f>
        <v>278662</v>
      </c>
      <c r="BQ63" s="35">
        <f t="shared" si="32"/>
        <v>30153.812060070959</v>
      </c>
      <c r="BR63" s="35">
        <f>SUMIF('5 Year Supply Plan'!A:A,'JZ_BRAND SPLITS'!C63,'5 Year Supply Plan'!AN:AN)</f>
        <v>285661</v>
      </c>
      <c r="BS63" s="35">
        <f t="shared" si="33"/>
        <v>30911.168752438189</v>
      </c>
      <c r="BT63" s="35">
        <f>SUMIF('5 Year Supply Plan'!A:A,'JZ_BRAND SPLITS'!C63,'5 Year Supply Plan'!AO:AO)</f>
        <v>254215</v>
      </c>
      <c r="BU63" s="35">
        <f t="shared" si="34"/>
        <v>27508.419995732962</v>
      </c>
      <c r="BV63" s="35">
        <f>SUMIF('5 Year Supply Plan'!A:A,'JZ_BRAND SPLITS'!C63,'5 Year Supply Plan'!AP:AP)</f>
        <v>245238</v>
      </c>
      <c r="BW63" s="35">
        <f t="shared" si="35"/>
        <v>26537.025364016918</v>
      </c>
      <c r="BX63" s="35">
        <f>SUMIF('5 Year Supply Plan'!A:A,'JZ_BRAND SPLITS'!C63,'5 Year Supply Plan'!AQ:AQ)</f>
        <v>276727</v>
      </c>
      <c r="BY63" s="35">
        <f t="shared" si="36"/>
        <v>29944.427119403637</v>
      </c>
      <c r="BZ63" s="35">
        <f>SUMIF('5 Year Supply Plan'!A:A,'JZ_BRAND SPLITS'!C63,'5 Year Supply Plan'!AR:AR)</f>
        <v>271462</v>
      </c>
      <c r="CA63" s="35">
        <f t="shared" si="37"/>
        <v>29374.705304099531</v>
      </c>
      <c r="CB63" s="35">
        <f>SUMIF('5 Year Supply Plan'!A:A,'JZ_BRAND SPLITS'!C63,'5 Year Supply Plan'!AS:AS)</f>
        <v>248220</v>
      </c>
      <c r="CC63" s="35">
        <f t="shared" si="38"/>
        <v>26859.705412115083</v>
      </c>
      <c r="CD63" s="35">
        <f>SUMIF('5 Year Supply Plan'!A:A,'JZ_BRAND SPLITS'!C63,'5 Year Supply Plan'!AT:AT)</f>
        <v>270139</v>
      </c>
      <c r="CE63" s="35">
        <f t="shared" si="39"/>
        <v>29231.544437689779</v>
      </c>
      <c r="CF63" s="35">
        <f>SUMIF('5 Year Supply Plan'!A:A,'JZ_BRAND SPLITS'!C63,'5 Year Supply Plan'!AU:AU)</f>
        <v>260060</v>
      </c>
      <c r="CG63" s="35">
        <f t="shared" si="40"/>
        <v>28140.903188601438</v>
      </c>
      <c r="CH63" s="35">
        <f>SUMIF('5 Year Supply Plan'!A:A,'JZ_BRAND SPLITS'!C63,'5 Year Supply Plan'!AV:AV)</f>
        <v>292625</v>
      </c>
      <c r="CI63" s="35">
        <f t="shared" si="41"/>
        <v>31664.738120297221</v>
      </c>
      <c r="CJ63" s="35">
        <f>SUMIF('5 Year Supply Plan'!A:A,'JZ_BRAND SPLITS'!C63,'5 Year Supply Plan'!AW:AW)</f>
        <v>292583</v>
      </c>
      <c r="CK63" s="35">
        <f t="shared" si="42"/>
        <v>31660.193330887389</v>
      </c>
      <c r="CL63" s="35">
        <f>SUMIF('5 Year Supply Plan'!A:A,'JZ_BRAND SPLITS'!C63,'5 Year Supply Plan'!AX:AX)</f>
        <v>270884</v>
      </c>
      <c r="CM63" s="35">
        <f t="shared" si="43"/>
        <v>29312.16034507849</v>
      </c>
      <c r="CN63" s="35">
        <f>SUMIF('5 Year Supply Plan'!A:A,'JZ_BRAND SPLITS'!C63,'5 Year Supply Plan'!AY:AY)</f>
        <v>296770</v>
      </c>
      <c r="CO63" s="35">
        <f t="shared" si="44"/>
        <v>32113.265551339107</v>
      </c>
      <c r="CP63" s="35">
        <f>SUMIF('5 Year Supply Plan'!A:A,'JZ_BRAND SPLITS'!C63,'5 Year Supply Plan'!AZ:AZ)</f>
        <v>304182</v>
      </c>
      <c r="CQ63" s="35">
        <f t="shared" si="45"/>
        <v>32915.312672903034</v>
      </c>
      <c r="CR63" s="35">
        <f>SUMIF('5 Year Supply Plan'!A:A,'JZ_BRAND SPLITS'!C63,'5 Year Supply Plan'!BA:BA)</f>
        <v>270299</v>
      </c>
      <c r="CS63" s="35">
        <f t="shared" si="46"/>
        <v>29248.85792115581</v>
      </c>
      <c r="CT63" s="35">
        <f>SUMIF('5 Year Supply Plan'!A:A,'JZ_BRAND SPLITS'!C63,'5 Year Supply Plan'!BB:BB)</f>
        <v>260430</v>
      </c>
      <c r="CU63" s="35">
        <f t="shared" si="47"/>
        <v>28180.940619116634</v>
      </c>
      <c r="CV63" s="35">
        <f>SUMIF('5 Year Supply Plan'!A:A,'JZ_BRAND SPLITS'!C63,'5 Year Supply Plan'!BC:BC)</f>
        <v>293803</v>
      </c>
      <c r="CW63" s="35">
        <f t="shared" si="48"/>
        <v>31792.20864231588</v>
      </c>
      <c r="CX63" s="35">
        <f>SUMIF('5 Year Supply Plan'!A:A,'JZ_BRAND SPLITS'!C63,'5 Year Supply Plan'!BD:BD)</f>
        <v>288585</v>
      </c>
      <c r="CY63" s="35">
        <f t="shared" si="49"/>
        <v>31227.572662779919</v>
      </c>
      <c r="CZ63" s="35">
        <f>SUMIF('5 Year Supply Plan'!A:A,'JZ_BRAND SPLITS'!C63,'5 Year Supply Plan'!BE:BE)</f>
        <v>263597</v>
      </c>
      <c r="DA63" s="35">
        <f t="shared" si="50"/>
        <v>28523.639382472404</v>
      </c>
      <c r="DB63" s="35">
        <f>SUMIF('5 Year Supply Plan'!A:A,'JZ_BRAND SPLITS'!C63,'5 Year Supply Plan'!BF:BF)</f>
        <v>286459</v>
      </c>
      <c r="DC63" s="35">
        <f t="shared" si="51"/>
        <v>30997.519751225023</v>
      </c>
      <c r="DD63" s="35">
        <f>SUMIF('5 Year Supply Plan'!A:A,'JZ_BRAND SPLITS'!C63,'5 Year Supply Plan'!BG:BG)</f>
        <v>276137</v>
      </c>
      <c r="DE63" s="35">
        <f t="shared" si="52"/>
        <v>29880.583649122644</v>
      </c>
      <c r="DF63" s="35">
        <f>SUMIF('5 Year Supply Plan'!A:A,'JZ_BRAND SPLITS'!C63,'5 Year Supply Plan'!BH:BH)</f>
        <v>313286</v>
      </c>
      <c r="DG63" s="35">
        <f t="shared" si="53"/>
        <v>33900.449882120243</v>
      </c>
      <c r="DH63" s="35">
        <f>SUMIF('5 Year Supply Plan'!A:A,'JZ_BRAND SPLITS'!C63,'5 Year Supply Plan'!BI:BI)</f>
        <v>329625</v>
      </c>
      <c r="DI63" s="35">
        <f t="shared" si="54"/>
        <v>35668.481171817075</v>
      </c>
      <c r="DJ63" s="35">
        <f>SUMIF('5 Year Supply Plan'!A:A,'JZ_BRAND SPLITS'!C63,'5 Year Supply Plan'!BJ:BJ)</f>
        <v>307203</v>
      </c>
      <c r="DK63" s="35">
        <f t="shared" si="55"/>
        <v>33242.212882596046</v>
      </c>
      <c r="DL63" s="35">
        <f>SUMIF('5 Year Supply Plan'!A:A,'JZ_BRAND SPLITS'!C63,'5 Year Supply Plan'!BK:BK)</f>
        <v>302051</v>
      </c>
      <c r="DM63" s="35">
        <f t="shared" si="56"/>
        <v>32684.71871498982</v>
      </c>
      <c r="DN63" s="42">
        <f>SUMIF('5 Year Supply Plan'!A:A,'JZ_BRAND SPLITS'!C63,'5 Year Supply Plan'!BL:BL)</f>
        <v>308525</v>
      </c>
      <c r="DO63" s="35">
        <f t="shared" si="57"/>
        <v>33385.26553973413</v>
      </c>
      <c r="DP63" s="35">
        <f>SUMIF('5 Year Supply Plan'!A:A,'JZ_BRAND SPLITS'!C63,'5 Year Supply Plan'!BM:BM)</f>
        <v>295867.875</v>
      </c>
      <c r="DQ63" s="35">
        <f t="shared" si="58"/>
        <v>32015.647262140395</v>
      </c>
      <c r="DR63" s="35">
        <f>SUMIF('5 Year Supply Plan'!A:A,'JZ_BRAND SPLITS'!C63,'5 Year Supply Plan'!BN:BN)</f>
        <v>295867.875</v>
      </c>
      <c r="DS63" s="35">
        <f t="shared" si="59"/>
        <v>32015.647262140395</v>
      </c>
      <c r="DT63" s="39">
        <f t="shared" si="60"/>
        <v>1676856.0010199151</v>
      </c>
      <c r="DU63" s="36">
        <f>SUMIF('5 Year Supply Plan'!A:A,'JZ_BRAND SPLITS'!C63,'5 Year Supply Plan'!BO:BO)</f>
        <v>15496417.037597999</v>
      </c>
    </row>
    <row r="64" spans="1:125" x14ac:dyDescent="0.25">
      <c r="A64" s="40" t="s">
        <v>283</v>
      </c>
      <c r="B64" s="40" t="s">
        <v>275</v>
      </c>
      <c r="C64" s="40" t="s">
        <v>109</v>
      </c>
      <c r="D64" s="40" t="str">
        <f t="shared" si="0"/>
        <v>E02CVISTA BRITE TIP</v>
      </c>
      <c r="E64" s="41">
        <v>4.2892888737726648E-2</v>
      </c>
      <c r="F64" s="35">
        <f>SUMIF('5 Year Supply Plan'!A:A,'JZ_BRAND SPLITS'!C64,'5 Year Supply Plan'!H:H)</f>
        <v>280807.69677699998</v>
      </c>
      <c r="G64" s="35">
        <f t="shared" si="1"/>
        <v>12044.653294553142</v>
      </c>
      <c r="H64" s="35">
        <f>SUMIF('5 Year Supply Plan'!A:A,'JZ_BRAND SPLITS'!C64,'5 Year Supply Plan'!I:I)</f>
        <v>333372.86914099997</v>
      </c>
      <c r="I64" s="35">
        <f t="shared" si="2"/>
        <v>14299.325384241618</v>
      </c>
      <c r="J64" s="35">
        <f>SUMIF('5 Year Supply Plan'!A:A,'JZ_BRAND SPLITS'!C64,'5 Year Supply Plan'!J:J)</f>
        <v>277810.72168000002</v>
      </c>
      <c r="K64" s="35">
        <f t="shared" si="3"/>
        <v>11916.104375167784</v>
      </c>
      <c r="L64" s="35">
        <f>SUMIF('5 Year Supply Plan'!A:A,'JZ_BRAND SPLITS'!C64,'5 Year Supply Plan'!K:K)</f>
        <v>221601</v>
      </c>
      <c r="M64" s="35">
        <f t="shared" si="4"/>
        <v>9505.1070371689621</v>
      </c>
      <c r="N64" s="35">
        <f>SUMIF('5 Year Supply Plan'!A:A,'JZ_BRAND SPLITS'!C64,'5 Year Supply Plan'!L:L)</f>
        <v>126362</v>
      </c>
      <c r="O64" s="35">
        <f t="shared" si="5"/>
        <v>5420.0312066766146</v>
      </c>
      <c r="P64" s="35">
        <f>SUMIF('5 Year Supply Plan'!A:A,'JZ_BRAND SPLITS'!C64,'5 Year Supply Plan'!M:M)</f>
        <v>213221</v>
      </c>
      <c r="Q64" s="35">
        <f t="shared" si="6"/>
        <v>9145.6646295468126</v>
      </c>
      <c r="R64" s="35">
        <f>SUMIF('5 Year Supply Plan'!A:A,'JZ_BRAND SPLITS'!C64,'5 Year Supply Plan'!N:N)</f>
        <v>224906</v>
      </c>
      <c r="S64" s="35">
        <f t="shared" si="7"/>
        <v>9646.8680344471486</v>
      </c>
      <c r="T64" s="35">
        <f>SUMIF('5 Year Supply Plan'!A:A,'JZ_BRAND SPLITS'!C64,'5 Year Supply Plan'!O:O)</f>
        <v>239513</v>
      </c>
      <c r="U64" s="35">
        <f t="shared" si="8"/>
        <v>10273.404460239122</v>
      </c>
      <c r="V64" s="35">
        <f>SUMIF('5 Year Supply Plan'!A:A,'JZ_BRAND SPLITS'!C64,'5 Year Supply Plan'!P:P)</f>
        <v>230425</v>
      </c>
      <c r="W64" s="35">
        <f t="shared" si="9"/>
        <v>9883.5938873906634</v>
      </c>
      <c r="X64" s="35">
        <f>SUMIF('5 Year Supply Plan'!A:A,'JZ_BRAND SPLITS'!C64,'5 Year Supply Plan'!Q:Q)</f>
        <v>224980</v>
      </c>
      <c r="Y64" s="35">
        <f t="shared" si="10"/>
        <v>9650.0421082137418</v>
      </c>
      <c r="Z64" s="35">
        <f>SUMIF('5 Year Supply Plan'!A:A,'JZ_BRAND SPLITS'!C64,'5 Year Supply Plan'!R:R)</f>
        <v>218045</v>
      </c>
      <c r="AA64" s="35">
        <f t="shared" si="11"/>
        <v>9352.5799248176063</v>
      </c>
      <c r="AB64" s="35">
        <f>SUMIF('5 Year Supply Plan'!A:A,'JZ_BRAND SPLITS'!C64,'5 Year Supply Plan'!S:S)</f>
        <v>243932</v>
      </c>
      <c r="AC64" s="35">
        <f t="shared" si="12"/>
        <v>10462.948135571136</v>
      </c>
      <c r="AD64" s="35">
        <f>SUMIF('5 Year Supply Plan'!A:A,'JZ_BRAND SPLITS'!C64,'5 Year Supply Plan'!T:T)</f>
        <v>238049</v>
      </c>
      <c r="AE64" s="35">
        <f t="shared" si="13"/>
        <v>10210.60927112709</v>
      </c>
      <c r="AF64" s="35">
        <f>SUMIF('5 Year Supply Plan'!A:A,'JZ_BRAND SPLITS'!C64,'5 Year Supply Plan'!U:U)</f>
        <v>218567</v>
      </c>
      <c r="AG64" s="35">
        <f t="shared" si="14"/>
        <v>9374.9700127387005</v>
      </c>
      <c r="AH64" s="35">
        <f>SUMIF('5 Year Supply Plan'!A:A,'JZ_BRAND SPLITS'!C64,'5 Year Supply Plan'!V:V)</f>
        <v>239317</v>
      </c>
      <c r="AI64" s="35">
        <f t="shared" si="15"/>
        <v>10264.997454046528</v>
      </c>
      <c r="AJ64" s="35">
        <f>SUMIF('5 Year Supply Plan'!A:A,'JZ_BRAND SPLITS'!C64,'5 Year Supply Plan'!W:W)</f>
        <v>229421</v>
      </c>
      <c r="AK64" s="35">
        <f t="shared" si="16"/>
        <v>9840.5294270979848</v>
      </c>
      <c r="AL64" s="35">
        <f>SUMIF('5 Year Supply Plan'!A:A,'JZ_BRAND SPLITS'!C64,'5 Year Supply Plan'!X:X)</f>
        <v>259307</v>
      </c>
      <c r="AM64" s="35">
        <f t="shared" si="17"/>
        <v>11122.426299913684</v>
      </c>
      <c r="AN64" s="35">
        <f>SUMIF('5 Year Supply Plan'!A:A,'JZ_BRAND SPLITS'!C64,'5 Year Supply Plan'!Y:Y)</f>
        <v>258943</v>
      </c>
      <c r="AO64" s="35">
        <f t="shared" si="18"/>
        <v>11106.813288413152</v>
      </c>
      <c r="AP64" s="35">
        <f>SUMIF('5 Year Supply Plan'!A:A,'JZ_BRAND SPLITS'!C64,'5 Year Supply Plan'!Z:Z)</f>
        <v>237283</v>
      </c>
      <c r="AQ64" s="35">
        <f t="shared" si="19"/>
        <v>10177.753318353993</v>
      </c>
      <c r="AR64" s="35">
        <f>SUMIF('5 Year Supply Plan'!A:A,'JZ_BRAND SPLITS'!C64,'5 Year Supply Plan'!AA:AA)</f>
        <v>261853</v>
      </c>
      <c r="AS64" s="35">
        <f t="shared" si="20"/>
        <v>11231.631594639935</v>
      </c>
      <c r="AT64" s="35">
        <f>SUMIF('5 Year Supply Plan'!A:A,'JZ_BRAND SPLITS'!C64,'5 Year Supply Plan'!AB:AB)</f>
        <v>268354</v>
      </c>
      <c r="AU64" s="35">
        <f t="shared" si="21"/>
        <v>11510.478264323896</v>
      </c>
      <c r="AV64" s="35">
        <f>SUMIF('5 Year Supply Plan'!A:A,'JZ_BRAND SPLITS'!C64,'5 Year Supply Plan'!AC:AC)</f>
        <v>237492</v>
      </c>
      <c r="AW64" s="35">
        <f t="shared" si="22"/>
        <v>10186.717932100177</v>
      </c>
      <c r="AX64" s="35">
        <f>SUMIF('5 Year Supply Plan'!A:A,'JZ_BRAND SPLITS'!C64,'5 Year Supply Plan'!AD:AD)</f>
        <v>229614</v>
      </c>
      <c r="AY64" s="35">
        <f t="shared" si="23"/>
        <v>9848.8077546243658</v>
      </c>
      <c r="AZ64" s="35">
        <f>SUMIF('5 Year Supply Plan'!A:A,'JZ_BRAND SPLITS'!C64,'5 Year Supply Plan'!AE:AE)</f>
        <v>259190</v>
      </c>
      <c r="BA64" s="35">
        <f t="shared" si="24"/>
        <v>11117.40783193137</v>
      </c>
      <c r="BB64" s="35">
        <f>SUMIF('5 Year Supply Plan'!A:A,'JZ_BRAND SPLITS'!C64,'5 Year Supply Plan'!AF:AF)</f>
        <v>253637</v>
      </c>
      <c r="BC64" s="35">
        <f t="shared" si="25"/>
        <v>10879.223620770774</v>
      </c>
      <c r="BD64" s="35">
        <f>SUMIF('5 Year Supply Plan'!A:A,'JZ_BRAND SPLITS'!C64,'5 Year Supply Plan'!AG:AG)</f>
        <v>232371</v>
      </c>
      <c r="BE64" s="35">
        <f t="shared" si="26"/>
        <v>9967.063448874278</v>
      </c>
      <c r="BF64" s="35">
        <f>SUMIF('5 Year Supply Plan'!A:A,'JZ_BRAND SPLITS'!C64,'5 Year Supply Plan'!AH:AH)</f>
        <v>253616</v>
      </c>
      <c r="BG64" s="35">
        <f t="shared" si="27"/>
        <v>10878.322870107282</v>
      </c>
      <c r="BH64" s="35">
        <f>SUMIF('5 Year Supply Plan'!A:A,'JZ_BRAND SPLITS'!C64,'5 Year Supply Plan'!AI:AI)</f>
        <v>243593</v>
      </c>
      <c r="BI64" s="35">
        <f t="shared" si="28"/>
        <v>10448.407446289048</v>
      </c>
      <c r="BJ64" s="35">
        <f>SUMIF('5 Year Supply Plan'!A:A,'JZ_BRAND SPLITS'!C64,'5 Year Supply Plan'!AJ:AJ)</f>
        <v>274674</v>
      </c>
      <c r="BK64" s="35">
        <f t="shared" si="29"/>
        <v>11781.56132114633</v>
      </c>
      <c r="BL64" s="35">
        <f>SUMIF('5 Year Supply Plan'!A:A,'JZ_BRAND SPLITS'!C64,'5 Year Supply Plan'!AK:AK)</f>
        <v>274416</v>
      </c>
      <c r="BM64" s="35">
        <f t="shared" si="30"/>
        <v>11770.494955851997</v>
      </c>
      <c r="BN64" s="35">
        <f>SUMIF('5 Year Supply Plan'!A:A,'JZ_BRAND SPLITS'!C64,'5 Year Supply Plan'!AL:AL)</f>
        <v>252580</v>
      </c>
      <c r="BO64" s="35">
        <f t="shared" si="31"/>
        <v>10833.885837374997</v>
      </c>
      <c r="BP64" s="35">
        <f>SUMIF('5 Year Supply Plan'!A:A,'JZ_BRAND SPLITS'!C64,'5 Year Supply Plan'!AM:AM)</f>
        <v>278662</v>
      </c>
      <c r="BQ64" s="35">
        <f t="shared" si="32"/>
        <v>11952.618161432383</v>
      </c>
      <c r="BR64" s="35">
        <f>SUMIF('5 Year Supply Plan'!A:A,'JZ_BRAND SPLITS'!C64,'5 Year Supply Plan'!AN:AN)</f>
        <v>285661</v>
      </c>
      <c r="BS64" s="35">
        <f t="shared" si="33"/>
        <v>12252.825489707731</v>
      </c>
      <c r="BT64" s="35">
        <f>SUMIF('5 Year Supply Plan'!A:A,'JZ_BRAND SPLITS'!C64,'5 Year Supply Plan'!AO:AO)</f>
        <v>254215</v>
      </c>
      <c r="BU64" s="35">
        <f t="shared" si="34"/>
        <v>10904.015710461179</v>
      </c>
      <c r="BV64" s="35">
        <f>SUMIF('5 Year Supply Plan'!A:A,'JZ_BRAND SPLITS'!C64,'5 Year Supply Plan'!AP:AP)</f>
        <v>245238</v>
      </c>
      <c r="BW64" s="35">
        <f t="shared" si="35"/>
        <v>10518.966248262608</v>
      </c>
      <c r="BX64" s="35">
        <f>SUMIF('5 Year Supply Plan'!A:A,'JZ_BRAND SPLITS'!C64,'5 Year Supply Plan'!AQ:AQ)</f>
        <v>276727</v>
      </c>
      <c r="BY64" s="35">
        <f t="shared" si="36"/>
        <v>11869.620421724881</v>
      </c>
      <c r="BZ64" s="35">
        <f>SUMIF('5 Year Supply Plan'!A:A,'JZ_BRAND SPLITS'!C64,'5 Year Supply Plan'!AR:AR)</f>
        <v>271462</v>
      </c>
      <c r="CA64" s="35">
        <f t="shared" si="37"/>
        <v>11643.789362520751</v>
      </c>
      <c r="CB64" s="35">
        <f>SUMIF('5 Year Supply Plan'!A:A,'JZ_BRAND SPLITS'!C64,'5 Year Supply Plan'!AS:AS)</f>
        <v>248220</v>
      </c>
      <c r="CC64" s="35">
        <f t="shared" si="38"/>
        <v>10646.872842478508</v>
      </c>
      <c r="CD64" s="35">
        <f>SUMIF('5 Year Supply Plan'!A:A,'JZ_BRAND SPLITS'!C64,'5 Year Supply Plan'!AT:AT)</f>
        <v>270139</v>
      </c>
      <c r="CE64" s="35">
        <f t="shared" si="39"/>
        <v>11587.04207072074</v>
      </c>
      <c r="CF64" s="35">
        <f>SUMIF('5 Year Supply Plan'!A:A,'JZ_BRAND SPLITS'!C64,'5 Year Supply Plan'!AU:AU)</f>
        <v>260060</v>
      </c>
      <c r="CG64" s="35">
        <f t="shared" si="40"/>
        <v>11154.724645133192</v>
      </c>
      <c r="CH64" s="35">
        <f>SUMIF('5 Year Supply Plan'!A:A,'JZ_BRAND SPLITS'!C64,'5 Year Supply Plan'!AV:AV)</f>
        <v>292625</v>
      </c>
      <c r="CI64" s="35">
        <f t="shared" si="41"/>
        <v>12551.53156687726</v>
      </c>
      <c r="CJ64" s="35">
        <f>SUMIF('5 Year Supply Plan'!A:A,'JZ_BRAND SPLITS'!C64,'5 Year Supply Plan'!AW:AW)</f>
        <v>292583</v>
      </c>
      <c r="CK64" s="35">
        <f t="shared" si="42"/>
        <v>12549.730065550275</v>
      </c>
      <c r="CL64" s="35">
        <f>SUMIF('5 Year Supply Plan'!A:A,'JZ_BRAND SPLITS'!C64,'5 Year Supply Plan'!AX:AX)</f>
        <v>270884</v>
      </c>
      <c r="CM64" s="35">
        <f t="shared" si="43"/>
        <v>11618.997272830346</v>
      </c>
      <c r="CN64" s="35">
        <f>SUMIF('5 Year Supply Plan'!A:A,'JZ_BRAND SPLITS'!C64,'5 Year Supply Plan'!AY:AY)</f>
        <v>296770</v>
      </c>
      <c r="CO64" s="35">
        <f t="shared" si="44"/>
        <v>12729.322590695137</v>
      </c>
      <c r="CP64" s="35">
        <f>SUMIF('5 Year Supply Plan'!A:A,'JZ_BRAND SPLITS'!C64,'5 Year Supply Plan'!AZ:AZ)</f>
        <v>304182</v>
      </c>
      <c r="CQ64" s="35">
        <f t="shared" si="45"/>
        <v>13047.244682019167</v>
      </c>
      <c r="CR64" s="35">
        <f>SUMIF('5 Year Supply Plan'!A:A,'JZ_BRAND SPLITS'!C64,'5 Year Supply Plan'!BA:BA)</f>
        <v>270299</v>
      </c>
      <c r="CS64" s="35">
        <f t="shared" si="46"/>
        <v>11593.904932918775</v>
      </c>
      <c r="CT64" s="35">
        <f>SUMIF('5 Year Supply Plan'!A:A,'JZ_BRAND SPLITS'!C64,'5 Year Supply Plan'!BB:BB)</f>
        <v>260430</v>
      </c>
      <c r="CU64" s="35">
        <f t="shared" si="47"/>
        <v>11170.595013966151</v>
      </c>
      <c r="CV64" s="35">
        <f>SUMIF('5 Year Supply Plan'!A:A,'JZ_BRAND SPLITS'!C64,'5 Year Supply Plan'!BC:BC)</f>
        <v>293803</v>
      </c>
      <c r="CW64" s="35">
        <f t="shared" si="48"/>
        <v>12602.059389810302</v>
      </c>
      <c r="CX64" s="35">
        <f>SUMIF('5 Year Supply Plan'!A:A,'JZ_BRAND SPLITS'!C64,'5 Year Supply Plan'!BD:BD)</f>
        <v>288585</v>
      </c>
      <c r="CY64" s="35">
        <f t="shared" si="49"/>
        <v>12378.244296376844</v>
      </c>
      <c r="CZ64" s="35">
        <f>SUMIF('5 Year Supply Plan'!A:A,'JZ_BRAND SPLITS'!C64,'5 Year Supply Plan'!BE:BE)</f>
        <v>263597</v>
      </c>
      <c r="DA64" s="35">
        <f t="shared" si="50"/>
        <v>11306.436792598532</v>
      </c>
      <c r="DB64" s="35">
        <f>SUMIF('5 Year Supply Plan'!A:A,'JZ_BRAND SPLITS'!C64,'5 Year Supply Plan'!BF:BF)</f>
        <v>286459</v>
      </c>
      <c r="DC64" s="35">
        <f t="shared" si="51"/>
        <v>12287.054014920437</v>
      </c>
      <c r="DD64" s="35">
        <f>SUMIF('5 Year Supply Plan'!A:A,'JZ_BRAND SPLITS'!C64,'5 Year Supply Plan'!BG:BG)</f>
        <v>276137</v>
      </c>
      <c r="DE64" s="35">
        <f t="shared" si="52"/>
        <v>11844.313617369624</v>
      </c>
      <c r="DF64" s="35">
        <f>SUMIF('5 Year Supply Plan'!A:A,'JZ_BRAND SPLITS'!C64,'5 Year Supply Plan'!BH:BH)</f>
        <v>313286</v>
      </c>
      <c r="DG64" s="35">
        <f t="shared" si="53"/>
        <v>13437.741541087431</v>
      </c>
      <c r="DH64" s="35">
        <f>SUMIF('5 Year Supply Plan'!A:A,'JZ_BRAND SPLITS'!C64,'5 Year Supply Plan'!BI:BI)</f>
        <v>329625</v>
      </c>
      <c r="DI64" s="35">
        <f t="shared" si="54"/>
        <v>14138.568450173147</v>
      </c>
      <c r="DJ64" s="35">
        <f>SUMIF('5 Year Supply Plan'!A:A,'JZ_BRAND SPLITS'!C64,'5 Year Supply Plan'!BJ:BJ)</f>
        <v>307203</v>
      </c>
      <c r="DK64" s="35">
        <f t="shared" si="55"/>
        <v>13176.824098895839</v>
      </c>
      <c r="DL64" s="35">
        <f>SUMIF('5 Year Supply Plan'!A:A,'JZ_BRAND SPLITS'!C64,'5 Year Supply Plan'!BK:BK)</f>
        <v>302051</v>
      </c>
      <c r="DM64" s="35">
        <f t="shared" si="56"/>
        <v>12955.839936119071</v>
      </c>
      <c r="DN64" s="42">
        <f>SUMIF('5 Year Supply Plan'!A:A,'JZ_BRAND SPLITS'!C64,'5 Year Supply Plan'!BL:BL)</f>
        <v>308525</v>
      </c>
      <c r="DO64" s="35">
        <f t="shared" si="57"/>
        <v>13233.528497807114</v>
      </c>
      <c r="DP64" s="35">
        <f>SUMIF('5 Year Supply Plan'!A:A,'JZ_BRAND SPLITS'!C64,'5 Year Supply Plan'!BM:BM)</f>
        <v>295867.875</v>
      </c>
      <c r="DQ64" s="35">
        <f t="shared" si="58"/>
        <v>12690.627843442615</v>
      </c>
      <c r="DR64" s="35">
        <f>SUMIF('5 Year Supply Plan'!A:A,'JZ_BRAND SPLITS'!C64,'5 Year Supply Plan'!BN:BN)</f>
        <v>295867.875</v>
      </c>
      <c r="DS64" s="35">
        <f t="shared" si="59"/>
        <v>12690.627843442615</v>
      </c>
      <c r="DT64" s="39">
        <f t="shared" si="60"/>
        <v>664686.09182710259</v>
      </c>
      <c r="DU64" s="36">
        <f>SUMIF('5 Year Supply Plan'!A:A,'JZ_BRAND SPLITS'!C64,'5 Year Supply Plan'!BO:BO)</f>
        <v>15496417.037597999</v>
      </c>
    </row>
    <row r="65" spans="1:125" x14ac:dyDescent="0.25">
      <c r="A65" s="40" t="s">
        <v>284</v>
      </c>
      <c r="B65" s="40" t="s">
        <v>285</v>
      </c>
      <c r="C65" s="40" t="s">
        <v>80</v>
      </c>
      <c r="D65" s="40" t="str">
        <f t="shared" si="0"/>
        <v>N03AINCRAFT</v>
      </c>
      <c r="E65" s="41">
        <v>0.26655490360435874</v>
      </c>
      <c r="F65" s="35">
        <f>SUMIF('5 Year Supply Plan'!A:A,'JZ_BRAND SPLITS'!C65,'5 Year Supply Plan'!H:H)</f>
        <v>458</v>
      </c>
      <c r="G65" s="35">
        <f t="shared" si="1"/>
        <v>122.08214585079631</v>
      </c>
      <c r="H65" s="35">
        <f>SUMIF('5 Year Supply Plan'!A:A,'JZ_BRAND SPLITS'!C65,'5 Year Supply Plan'!I:I)</f>
        <v>494</v>
      </c>
      <c r="I65" s="35">
        <f t="shared" si="2"/>
        <v>131.67812238055322</v>
      </c>
      <c r="J65" s="35">
        <f>SUMIF('5 Year Supply Plan'!A:A,'JZ_BRAND SPLITS'!C65,'5 Year Supply Plan'!J:J)</f>
        <v>400</v>
      </c>
      <c r="K65" s="35">
        <f t="shared" si="3"/>
        <v>106.62196144174349</v>
      </c>
      <c r="L65" s="35">
        <f>SUMIF('5 Year Supply Plan'!A:A,'JZ_BRAND SPLITS'!C65,'5 Year Supply Plan'!K:K)</f>
        <v>400</v>
      </c>
      <c r="M65" s="35">
        <f t="shared" si="4"/>
        <v>106.62196144174349</v>
      </c>
      <c r="N65" s="35">
        <f>SUMIF('5 Year Supply Plan'!A:A,'JZ_BRAND SPLITS'!C65,'5 Year Supply Plan'!L:L)</f>
        <v>0</v>
      </c>
      <c r="O65" s="35">
        <f t="shared" si="5"/>
        <v>0</v>
      </c>
      <c r="P65" s="35">
        <f>SUMIF('5 Year Supply Plan'!A:A,'JZ_BRAND SPLITS'!C65,'5 Year Supply Plan'!M:M)</f>
        <v>0</v>
      </c>
      <c r="Q65" s="35">
        <f t="shared" si="6"/>
        <v>0</v>
      </c>
      <c r="R65" s="35">
        <f>SUMIF('5 Year Supply Plan'!A:A,'JZ_BRAND SPLITS'!C65,'5 Year Supply Plan'!N:N)</f>
        <v>0</v>
      </c>
      <c r="S65" s="35">
        <f t="shared" si="7"/>
        <v>0</v>
      </c>
      <c r="T65" s="35">
        <f>SUMIF('5 Year Supply Plan'!A:A,'JZ_BRAND SPLITS'!C65,'5 Year Supply Plan'!O:O)</f>
        <v>0</v>
      </c>
      <c r="U65" s="35">
        <f t="shared" si="8"/>
        <v>0</v>
      </c>
      <c r="V65" s="35">
        <f>SUMIF('5 Year Supply Plan'!A:A,'JZ_BRAND SPLITS'!C65,'5 Year Supply Plan'!P:P)</f>
        <v>0</v>
      </c>
      <c r="W65" s="35">
        <f t="shared" si="9"/>
        <v>0</v>
      </c>
      <c r="X65" s="35">
        <f>SUMIF('5 Year Supply Plan'!A:A,'JZ_BRAND SPLITS'!C65,'5 Year Supply Plan'!Q:Q)</f>
        <v>0</v>
      </c>
      <c r="Y65" s="35">
        <f t="shared" si="10"/>
        <v>0</v>
      </c>
      <c r="Z65" s="35">
        <f>SUMIF('5 Year Supply Plan'!A:A,'JZ_BRAND SPLITS'!C65,'5 Year Supply Plan'!R:R)</f>
        <v>0</v>
      </c>
      <c r="AA65" s="35">
        <f t="shared" si="11"/>
        <v>0</v>
      </c>
      <c r="AB65" s="35">
        <f>SUMIF('5 Year Supply Plan'!A:A,'JZ_BRAND SPLITS'!C65,'5 Year Supply Plan'!S:S)</f>
        <v>0</v>
      </c>
      <c r="AC65" s="35">
        <f t="shared" si="12"/>
        <v>0</v>
      </c>
      <c r="AD65" s="35">
        <f>SUMIF('5 Year Supply Plan'!A:A,'JZ_BRAND SPLITS'!C65,'5 Year Supply Plan'!T:T)</f>
        <v>0</v>
      </c>
      <c r="AE65" s="35">
        <f t="shared" si="13"/>
        <v>0</v>
      </c>
      <c r="AF65" s="35">
        <f>SUMIF('5 Year Supply Plan'!A:A,'JZ_BRAND SPLITS'!C65,'5 Year Supply Plan'!U:U)</f>
        <v>0</v>
      </c>
      <c r="AG65" s="35">
        <f t="shared" si="14"/>
        <v>0</v>
      </c>
      <c r="AH65" s="35">
        <f>SUMIF('5 Year Supply Plan'!A:A,'JZ_BRAND SPLITS'!C65,'5 Year Supply Plan'!V:V)</f>
        <v>0</v>
      </c>
      <c r="AI65" s="35">
        <f t="shared" si="15"/>
        <v>0</v>
      </c>
      <c r="AJ65" s="35">
        <f>SUMIF('5 Year Supply Plan'!A:A,'JZ_BRAND SPLITS'!C65,'5 Year Supply Plan'!W:W)</f>
        <v>0</v>
      </c>
      <c r="AK65" s="35">
        <f t="shared" si="16"/>
        <v>0</v>
      </c>
      <c r="AL65" s="35">
        <f>SUMIF('5 Year Supply Plan'!A:A,'JZ_BRAND SPLITS'!C65,'5 Year Supply Plan'!X:X)</f>
        <v>0</v>
      </c>
      <c r="AM65" s="35">
        <f t="shared" si="17"/>
        <v>0</v>
      </c>
      <c r="AN65" s="35">
        <f>SUMIF('5 Year Supply Plan'!A:A,'JZ_BRAND SPLITS'!C65,'5 Year Supply Plan'!Y:Y)</f>
        <v>0</v>
      </c>
      <c r="AO65" s="35">
        <f t="shared" si="18"/>
        <v>0</v>
      </c>
      <c r="AP65" s="35">
        <f>SUMIF('5 Year Supply Plan'!A:A,'JZ_BRAND SPLITS'!C65,'5 Year Supply Plan'!Z:Z)</f>
        <v>0</v>
      </c>
      <c r="AQ65" s="35">
        <f t="shared" si="19"/>
        <v>0</v>
      </c>
      <c r="AR65" s="35">
        <f>SUMIF('5 Year Supply Plan'!A:A,'JZ_BRAND SPLITS'!C65,'5 Year Supply Plan'!AA:AA)</f>
        <v>0</v>
      </c>
      <c r="AS65" s="35">
        <f t="shared" si="20"/>
        <v>0</v>
      </c>
      <c r="AT65" s="35">
        <f>SUMIF('5 Year Supply Plan'!A:A,'JZ_BRAND SPLITS'!C65,'5 Year Supply Plan'!AB:AB)</f>
        <v>0</v>
      </c>
      <c r="AU65" s="35">
        <f t="shared" si="21"/>
        <v>0</v>
      </c>
      <c r="AV65" s="35">
        <f>SUMIF('5 Year Supply Plan'!A:A,'JZ_BRAND SPLITS'!C65,'5 Year Supply Plan'!AC:AC)</f>
        <v>0</v>
      </c>
      <c r="AW65" s="35">
        <f t="shared" si="22"/>
        <v>0</v>
      </c>
      <c r="AX65" s="35">
        <f>SUMIF('5 Year Supply Plan'!A:A,'JZ_BRAND SPLITS'!C65,'5 Year Supply Plan'!AD:AD)</f>
        <v>0</v>
      </c>
      <c r="AY65" s="35">
        <f t="shared" si="23"/>
        <v>0</v>
      </c>
      <c r="AZ65" s="35">
        <f>SUMIF('5 Year Supply Plan'!A:A,'JZ_BRAND SPLITS'!C65,'5 Year Supply Plan'!AE:AE)</f>
        <v>0</v>
      </c>
      <c r="BA65" s="35">
        <f t="shared" si="24"/>
        <v>0</v>
      </c>
      <c r="BB65" s="35">
        <f>SUMIF('5 Year Supply Plan'!A:A,'JZ_BRAND SPLITS'!C65,'5 Year Supply Plan'!AF:AF)</f>
        <v>0</v>
      </c>
      <c r="BC65" s="35">
        <f t="shared" si="25"/>
        <v>0</v>
      </c>
      <c r="BD65" s="35">
        <f>SUMIF('5 Year Supply Plan'!A:A,'JZ_BRAND SPLITS'!C65,'5 Year Supply Plan'!AG:AG)</f>
        <v>0</v>
      </c>
      <c r="BE65" s="35">
        <f t="shared" si="26"/>
        <v>0</v>
      </c>
      <c r="BF65" s="35">
        <f>SUMIF('5 Year Supply Plan'!A:A,'JZ_BRAND SPLITS'!C65,'5 Year Supply Plan'!AH:AH)</f>
        <v>0</v>
      </c>
      <c r="BG65" s="35">
        <f t="shared" si="27"/>
        <v>0</v>
      </c>
      <c r="BH65" s="35">
        <f>SUMIF('5 Year Supply Plan'!A:A,'JZ_BRAND SPLITS'!C65,'5 Year Supply Plan'!AI:AI)</f>
        <v>0</v>
      </c>
      <c r="BI65" s="35">
        <f t="shared" si="28"/>
        <v>0</v>
      </c>
      <c r="BJ65" s="35">
        <f>SUMIF('5 Year Supply Plan'!A:A,'JZ_BRAND SPLITS'!C65,'5 Year Supply Plan'!AJ:AJ)</f>
        <v>0</v>
      </c>
      <c r="BK65" s="35">
        <f t="shared" si="29"/>
        <v>0</v>
      </c>
      <c r="BL65" s="35">
        <f>SUMIF('5 Year Supply Plan'!A:A,'JZ_BRAND SPLITS'!C65,'5 Year Supply Plan'!AK:AK)</f>
        <v>0</v>
      </c>
      <c r="BM65" s="35">
        <f t="shared" si="30"/>
        <v>0</v>
      </c>
      <c r="BN65" s="35">
        <f>SUMIF('5 Year Supply Plan'!A:A,'JZ_BRAND SPLITS'!C65,'5 Year Supply Plan'!AL:AL)</f>
        <v>0</v>
      </c>
      <c r="BO65" s="35">
        <f t="shared" si="31"/>
        <v>0</v>
      </c>
      <c r="BP65" s="35">
        <f>SUMIF('5 Year Supply Plan'!A:A,'JZ_BRAND SPLITS'!C65,'5 Year Supply Plan'!AM:AM)</f>
        <v>0</v>
      </c>
      <c r="BQ65" s="35">
        <f t="shared" si="32"/>
        <v>0</v>
      </c>
      <c r="BR65" s="35">
        <f>SUMIF('5 Year Supply Plan'!A:A,'JZ_BRAND SPLITS'!C65,'5 Year Supply Plan'!AN:AN)</f>
        <v>0</v>
      </c>
      <c r="BS65" s="35">
        <f t="shared" si="33"/>
        <v>0</v>
      </c>
      <c r="BT65" s="35">
        <f>SUMIF('5 Year Supply Plan'!A:A,'JZ_BRAND SPLITS'!C65,'5 Year Supply Plan'!AO:AO)</f>
        <v>0</v>
      </c>
      <c r="BU65" s="35">
        <f t="shared" si="34"/>
        <v>0</v>
      </c>
      <c r="BV65" s="35">
        <f>SUMIF('5 Year Supply Plan'!A:A,'JZ_BRAND SPLITS'!C65,'5 Year Supply Plan'!AP:AP)</f>
        <v>0</v>
      </c>
      <c r="BW65" s="35">
        <f t="shared" si="35"/>
        <v>0</v>
      </c>
      <c r="BX65" s="35">
        <f>SUMIF('5 Year Supply Plan'!A:A,'JZ_BRAND SPLITS'!C65,'5 Year Supply Plan'!AQ:AQ)</f>
        <v>0</v>
      </c>
      <c r="BY65" s="35">
        <f t="shared" si="36"/>
        <v>0</v>
      </c>
      <c r="BZ65" s="35">
        <f>SUMIF('5 Year Supply Plan'!A:A,'JZ_BRAND SPLITS'!C65,'5 Year Supply Plan'!AR:AR)</f>
        <v>0</v>
      </c>
      <c r="CA65" s="35">
        <f t="shared" si="37"/>
        <v>0</v>
      </c>
      <c r="CB65" s="35">
        <f>SUMIF('5 Year Supply Plan'!A:A,'JZ_BRAND SPLITS'!C65,'5 Year Supply Plan'!AS:AS)</f>
        <v>0</v>
      </c>
      <c r="CC65" s="35">
        <f t="shared" si="38"/>
        <v>0</v>
      </c>
      <c r="CD65" s="35">
        <f>SUMIF('5 Year Supply Plan'!A:A,'JZ_BRAND SPLITS'!C65,'5 Year Supply Plan'!AT:AT)</f>
        <v>0</v>
      </c>
      <c r="CE65" s="35">
        <f t="shared" si="39"/>
        <v>0</v>
      </c>
      <c r="CF65" s="35">
        <f>SUMIF('5 Year Supply Plan'!A:A,'JZ_BRAND SPLITS'!C65,'5 Year Supply Plan'!AU:AU)</f>
        <v>0</v>
      </c>
      <c r="CG65" s="35">
        <f t="shared" si="40"/>
        <v>0</v>
      </c>
      <c r="CH65" s="35">
        <f>SUMIF('5 Year Supply Plan'!A:A,'JZ_BRAND SPLITS'!C65,'5 Year Supply Plan'!AV:AV)</f>
        <v>0</v>
      </c>
      <c r="CI65" s="35">
        <f t="shared" si="41"/>
        <v>0</v>
      </c>
      <c r="CJ65" s="35">
        <f>SUMIF('5 Year Supply Plan'!A:A,'JZ_BRAND SPLITS'!C65,'5 Year Supply Plan'!AW:AW)</f>
        <v>0</v>
      </c>
      <c r="CK65" s="35">
        <f t="shared" si="42"/>
        <v>0</v>
      </c>
      <c r="CL65" s="35">
        <f>SUMIF('5 Year Supply Plan'!A:A,'JZ_BRAND SPLITS'!C65,'5 Year Supply Plan'!AX:AX)</f>
        <v>0</v>
      </c>
      <c r="CM65" s="35">
        <f t="shared" si="43"/>
        <v>0</v>
      </c>
      <c r="CN65" s="35">
        <f>SUMIF('5 Year Supply Plan'!A:A,'JZ_BRAND SPLITS'!C65,'5 Year Supply Plan'!AY:AY)</f>
        <v>0</v>
      </c>
      <c r="CO65" s="35">
        <f t="shared" si="44"/>
        <v>0</v>
      </c>
      <c r="CP65" s="35">
        <f>SUMIF('5 Year Supply Plan'!A:A,'JZ_BRAND SPLITS'!C65,'5 Year Supply Plan'!AZ:AZ)</f>
        <v>0</v>
      </c>
      <c r="CQ65" s="35">
        <f t="shared" si="45"/>
        <v>0</v>
      </c>
      <c r="CR65" s="35">
        <f>SUMIF('5 Year Supply Plan'!A:A,'JZ_BRAND SPLITS'!C65,'5 Year Supply Plan'!BA:BA)</f>
        <v>0</v>
      </c>
      <c r="CS65" s="35">
        <f t="shared" si="46"/>
        <v>0</v>
      </c>
      <c r="CT65" s="35">
        <f>SUMIF('5 Year Supply Plan'!A:A,'JZ_BRAND SPLITS'!C65,'5 Year Supply Plan'!BB:BB)</f>
        <v>0</v>
      </c>
      <c r="CU65" s="35">
        <f t="shared" si="47"/>
        <v>0</v>
      </c>
      <c r="CV65" s="35">
        <f>SUMIF('5 Year Supply Plan'!A:A,'JZ_BRAND SPLITS'!C65,'5 Year Supply Plan'!BC:BC)</f>
        <v>0</v>
      </c>
      <c r="CW65" s="35">
        <f t="shared" si="48"/>
        <v>0</v>
      </c>
      <c r="CX65" s="35">
        <f>SUMIF('5 Year Supply Plan'!A:A,'JZ_BRAND SPLITS'!C65,'5 Year Supply Plan'!BD:BD)</f>
        <v>0</v>
      </c>
      <c r="CY65" s="35">
        <f t="shared" si="49"/>
        <v>0</v>
      </c>
      <c r="CZ65" s="35">
        <f>SUMIF('5 Year Supply Plan'!A:A,'JZ_BRAND SPLITS'!C65,'5 Year Supply Plan'!BE:BE)</f>
        <v>0</v>
      </c>
      <c r="DA65" s="35">
        <f t="shared" si="50"/>
        <v>0</v>
      </c>
      <c r="DB65" s="35">
        <f>SUMIF('5 Year Supply Plan'!A:A,'JZ_BRAND SPLITS'!C65,'5 Year Supply Plan'!BF:BF)</f>
        <v>0</v>
      </c>
      <c r="DC65" s="35">
        <f t="shared" si="51"/>
        <v>0</v>
      </c>
      <c r="DD65" s="35">
        <f>SUMIF('5 Year Supply Plan'!A:A,'JZ_BRAND SPLITS'!C65,'5 Year Supply Plan'!BG:BG)</f>
        <v>0</v>
      </c>
      <c r="DE65" s="35">
        <f t="shared" si="52"/>
        <v>0</v>
      </c>
      <c r="DF65" s="35">
        <f>SUMIF('5 Year Supply Plan'!A:A,'JZ_BRAND SPLITS'!C65,'5 Year Supply Plan'!BH:BH)</f>
        <v>0</v>
      </c>
      <c r="DG65" s="35">
        <f t="shared" si="53"/>
        <v>0</v>
      </c>
      <c r="DH65" s="35">
        <f>SUMIF('5 Year Supply Plan'!A:A,'JZ_BRAND SPLITS'!C65,'5 Year Supply Plan'!BI:BI)</f>
        <v>0</v>
      </c>
      <c r="DI65" s="35">
        <f t="shared" si="54"/>
        <v>0</v>
      </c>
      <c r="DJ65" s="35">
        <f>SUMIF('5 Year Supply Plan'!A:A,'JZ_BRAND SPLITS'!C65,'5 Year Supply Plan'!BJ:BJ)</f>
        <v>0</v>
      </c>
      <c r="DK65" s="35">
        <f t="shared" si="55"/>
        <v>0</v>
      </c>
      <c r="DL65" s="35">
        <f>SUMIF('5 Year Supply Plan'!A:A,'JZ_BRAND SPLITS'!C65,'5 Year Supply Plan'!BK:BK)</f>
        <v>94</v>
      </c>
      <c r="DM65" s="35">
        <f t="shared" si="56"/>
        <v>25.056160938809722</v>
      </c>
      <c r="DN65" s="42">
        <f>SUMIF('5 Year Supply Plan'!A:A,'JZ_BRAND SPLITS'!C65,'5 Year Supply Plan'!BL:BL)</f>
        <v>226</v>
      </c>
      <c r="DO65" s="35">
        <f t="shared" si="57"/>
        <v>60.241408214585078</v>
      </c>
      <c r="DP65" s="35">
        <f>SUMIF('5 Year Supply Plan'!A:A,'JZ_BRAND SPLITS'!C65,'5 Year Supply Plan'!BM:BM)</f>
        <v>0</v>
      </c>
      <c r="DQ65" s="35">
        <f t="shared" si="58"/>
        <v>0</v>
      </c>
      <c r="DR65" s="35">
        <f>SUMIF('5 Year Supply Plan'!A:A,'JZ_BRAND SPLITS'!C65,'5 Year Supply Plan'!BN:BN)</f>
        <v>0</v>
      </c>
      <c r="DS65" s="35">
        <f t="shared" si="59"/>
        <v>0</v>
      </c>
      <c r="DT65" s="39">
        <f t="shared" si="60"/>
        <v>552.30176026823131</v>
      </c>
      <c r="DU65" s="36">
        <f>SUMIF('5 Year Supply Plan'!A:A,'JZ_BRAND SPLITS'!C65,'5 Year Supply Plan'!BO:BO)</f>
        <v>2072</v>
      </c>
    </row>
    <row r="66" spans="1:125" x14ac:dyDescent="0.25">
      <c r="A66" s="40" t="s">
        <v>286</v>
      </c>
      <c r="B66" s="40" t="s">
        <v>285</v>
      </c>
      <c r="C66" s="40" t="s">
        <v>80</v>
      </c>
      <c r="D66" s="40" t="str">
        <f t="shared" si="0"/>
        <v>N03BINCRAFT</v>
      </c>
      <c r="E66" s="41">
        <v>0.73344509639564115</v>
      </c>
      <c r="F66" s="35">
        <f>SUMIF('5 Year Supply Plan'!A:A,'JZ_BRAND SPLITS'!C66,'5 Year Supply Plan'!H:H)</f>
        <v>458</v>
      </c>
      <c r="G66" s="35">
        <f t="shared" si="1"/>
        <v>335.91785414920366</v>
      </c>
      <c r="H66" s="35">
        <f>SUMIF('5 Year Supply Plan'!A:A,'JZ_BRAND SPLITS'!C66,'5 Year Supply Plan'!I:I)</f>
        <v>494</v>
      </c>
      <c r="I66" s="35">
        <f t="shared" si="2"/>
        <v>362.32187761944675</v>
      </c>
      <c r="J66" s="35">
        <f>SUMIF('5 Year Supply Plan'!A:A,'JZ_BRAND SPLITS'!C66,'5 Year Supply Plan'!J:J)</f>
        <v>400</v>
      </c>
      <c r="K66" s="35">
        <f t="shared" si="3"/>
        <v>293.37803855825643</v>
      </c>
      <c r="L66" s="35">
        <f>SUMIF('5 Year Supply Plan'!A:A,'JZ_BRAND SPLITS'!C66,'5 Year Supply Plan'!K:K)</f>
        <v>400</v>
      </c>
      <c r="M66" s="35">
        <f t="shared" si="4"/>
        <v>293.37803855825643</v>
      </c>
      <c r="N66" s="35">
        <f>SUMIF('5 Year Supply Plan'!A:A,'JZ_BRAND SPLITS'!C66,'5 Year Supply Plan'!L:L)</f>
        <v>0</v>
      </c>
      <c r="O66" s="35">
        <f t="shared" si="5"/>
        <v>0</v>
      </c>
      <c r="P66" s="35">
        <f>SUMIF('5 Year Supply Plan'!A:A,'JZ_BRAND SPLITS'!C66,'5 Year Supply Plan'!M:M)</f>
        <v>0</v>
      </c>
      <c r="Q66" s="35">
        <f t="shared" si="6"/>
        <v>0</v>
      </c>
      <c r="R66" s="35">
        <f>SUMIF('5 Year Supply Plan'!A:A,'JZ_BRAND SPLITS'!C66,'5 Year Supply Plan'!N:N)</f>
        <v>0</v>
      </c>
      <c r="S66" s="35">
        <f t="shared" si="7"/>
        <v>0</v>
      </c>
      <c r="T66" s="35">
        <f>SUMIF('5 Year Supply Plan'!A:A,'JZ_BRAND SPLITS'!C66,'5 Year Supply Plan'!O:O)</f>
        <v>0</v>
      </c>
      <c r="U66" s="35">
        <f t="shared" si="8"/>
        <v>0</v>
      </c>
      <c r="V66" s="35">
        <f>SUMIF('5 Year Supply Plan'!A:A,'JZ_BRAND SPLITS'!C66,'5 Year Supply Plan'!P:P)</f>
        <v>0</v>
      </c>
      <c r="W66" s="35">
        <f t="shared" si="9"/>
        <v>0</v>
      </c>
      <c r="X66" s="35">
        <f>SUMIF('5 Year Supply Plan'!A:A,'JZ_BRAND SPLITS'!C66,'5 Year Supply Plan'!Q:Q)</f>
        <v>0</v>
      </c>
      <c r="Y66" s="35">
        <f t="shared" si="10"/>
        <v>0</v>
      </c>
      <c r="Z66" s="35">
        <f>SUMIF('5 Year Supply Plan'!A:A,'JZ_BRAND SPLITS'!C66,'5 Year Supply Plan'!R:R)</f>
        <v>0</v>
      </c>
      <c r="AA66" s="35">
        <f t="shared" si="11"/>
        <v>0</v>
      </c>
      <c r="AB66" s="35">
        <f>SUMIF('5 Year Supply Plan'!A:A,'JZ_BRAND SPLITS'!C66,'5 Year Supply Plan'!S:S)</f>
        <v>0</v>
      </c>
      <c r="AC66" s="35">
        <f t="shared" si="12"/>
        <v>0</v>
      </c>
      <c r="AD66" s="35">
        <f>SUMIF('5 Year Supply Plan'!A:A,'JZ_BRAND SPLITS'!C66,'5 Year Supply Plan'!T:T)</f>
        <v>0</v>
      </c>
      <c r="AE66" s="35">
        <f t="shared" si="13"/>
        <v>0</v>
      </c>
      <c r="AF66" s="35">
        <f>SUMIF('5 Year Supply Plan'!A:A,'JZ_BRAND SPLITS'!C66,'5 Year Supply Plan'!U:U)</f>
        <v>0</v>
      </c>
      <c r="AG66" s="35">
        <f t="shared" si="14"/>
        <v>0</v>
      </c>
      <c r="AH66" s="35">
        <f>SUMIF('5 Year Supply Plan'!A:A,'JZ_BRAND SPLITS'!C66,'5 Year Supply Plan'!V:V)</f>
        <v>0</v>
      </c>
      <c r="AI66" s="35">
        <f t="shared" si="15"/>
        <v>0</v>
      </c>
      <c r="AJ66" s="35">
        <f>SUMIF('5 Year Supply Plan'!A:A,'JZ_BRAND SPLITS'!C66,'5 Year Supply Plan'!W:W)</f>
        <v>0</v>
      </c>
      <c r="AK66" s="35">
        <f t="shared" si="16"/>
        <v>0</v>
      </c>
      <c r="AL66" s="35">
        <f>SUMIF('5 Year Supply Plan'!A:A,'JZ_BRAND SPLITS'!C66,'5 Year Supply Plan'!X:X)</f>
        <v>0</v>
      </c>
      <c r="AM66" s="35">
        <f t="shared" si="17"/>
        <v>0</v>
      </c>
      <c r="AN66" s="35">
        <f>SUMIF('5 Year Supply Plan'!A:A,'JZ_BRAND SPLITS'!C66,'5 Year Supply Plan'!Y:Y)</f>
        <v>0</v>
      </c>
      <c r="AO66" s="35">
        <f t="shared" si="18"/>
        <v>0</v>
      </c>
      <c r="AP66" s="35">
        <f>SUMIF('5 Year Supply Plan'!A:A,'JZ_BRAND SPLITS'!C66,'5 Year Supply Plan'!Z:Z)</f>
        <v>0</v>
      </c>
      <c r="AQ66" s="35">
        <f t="shared" si="19"/>
        <v>0</v>
      </c>
      <c r="AR66" s="35">
        <f>SUMIF('5 Year Supply Plan'!A:A,'JZ_BRAND SPLITS'!C66,'5 Year Supply Plan'!AA:AA)</f>
        <v>0</v>
      </c>
      <c r="AS66" s="35">
        <f t="shared" si="20"/>
        <v>0</v>
      </c>
      <c r="AT66" s="35">
        <f>SUMIF('5 Year Supply Plan'!A:A,'JZ_BRAND SPLITS'!C66,'5 Year Supply Plan'!AB:AB)</f>
        <v>0</v>
      </c>
      <c r="AU66" s="35">
        <f t="shared" si="21"/>
        <v>0</v>
      </c>
      <c r="AV66" s="35">
        <f>SUMIF('5 Year Supply Plan'!A:A,'JZ_BRAND SPLITS'!C66,'5 Year Supply Plan'!AC:AC)</f>
        <v>0</v>
      </c>
      <c r="AW66" s="35">
        <f t="shared" si="22"/>
        <v>0</v>
      </c>
      <c r="AX66" s="35">
        <f>SUMIF('5 Year Supply Plan'!A:A,'JZ_BRAND SPLITS'!C66,'5 Year Supply Plan'!AD:AD)</f>
        <v>0</v>
      </c>
      <c r="AY66" s="35">
        <f t="shared" si="23"/>
        <v>0</v>
      </c>
      <c r="AZ66" s="35">
        <f>SUMIF('5 Year Supply Plan'!A:A,'JZ_BRAND SPLITS'!C66,'5 Year Supply Plan'!AE:AE)</f>
        <v>0</v>
      </c>
      <c r="BA66" s="35">
        <f t="shared" si="24"/>
        <v>0</v>
      </c>
      <c r="BB66" s="35">
        <f>SUMIF('5 Year Supply Plan'!A:A,'JZ_BRAND SPLITS'!C66,'5 Year Supply Plan'!AF:AF)</f>
        <v>0</v>
      </c>
      <c r="BC66" s="35">
        <f t="shared" si="25"/>
        <v>0</v>
      </c>
      <c r="BD66" s="35">
        <f>SUMIF('5 Year Supply Plan'!A:A,'JZ_BRAND SPLITS'!C66,'5 Year Supply Plan'!AG:AG)</f>
        <v>0</v>
      </c>
      <c r="BE66" s="35">
        <f t="shared" si="26"/>
        <v>0</v>
      </c>
      <c r="BF66" s="35">
        <f>SUMIF('5 Year Supply Plan'!A:A,'JZ_BRAND SPLITS'!C66,'5 Year Supply Plan'!AH:AH)</f>
        <v>0</v>
      </c>
      <c r="BG66" s="35">
        <f t="shared" si="27"/>
        <v>0</v>
      </c>
      <c r="BH66" s="35">
        <f>SUMIF('5 Year Supply Plan'!A:A,'JZ_BRAND SPLITS'!C66,'5 Year Supply Plan'!AI:AI)</f>
        <v>0</v>
      </c>
      <c r="BI66" s="35">
        <f t="shared" si="28"/>
        <v>0</v>
      </c>
      <c r="BJ66" s="35">
        <f>SUMIF('5 Year Supply Plan'!A:A,'JZ_BRAND SPLITS'!C66,'5 Year Supply Plan'!AJ:AJ)</f>
        <v>0</v>
      </c>
      <c r="BK66" s="35">
        <f t="shared" si="29"/>
        <v>0</v>
      </c>
      <c r="BL66" s="35">
        <f>SUMIF('5 Year Supply Plan'!A:A,'JZ_BRAND SPLITS'!C66,'5 Year Supply Plan'!AK:AK)</f>
        <v>0</v>
      </c>
      <c r="BM66" s="35">
        <f t="shared" si="30"/>
        <v>0</v>
      </c>
      <c r="BN66" s="35">
        <f>SUMIF('5 Year Supply Plan'!A:A,'JZ_BRAND SPLITS'!C66,'5 Year Supply Plan'!AL:AL)</f>
        <v>0</v>
      </c>
      <c r="BO66" s="35">
        <f t="shared" si="31"/>
        <v>0</v>
      </c>
      <c r="BP66" s="35">
        <f>SUMIF('5 Year Supply Plan'!A:A,'JZ_BRAND SPLITS'!C66,'5 Year Supply Plan'!AM:AM)</f>
        <v>0</v>
      </c>
      <c r="BQ66" s="35">
        <f t="shared" si="32"/>
        <v>0</v>
      </c>
      <c r="BR66" s="35">
        <f>SUMIF('5 Year Supply Plan'!A:A,'JZ_BRAND SPLITS'!C66,'5 Year Supply Plan'!AN:AN)</f>
        <v>0</v>
      </c>
      <c r="BS66" s="35">
        <f t="shared" si="33"/>
        <v>0</v>
      </c>
      <c r="BT66" s="35">
        <f>SUMIF('5 Year Supply Plan'!A:A,'JZ_BRAND SPLITS'!C66,'5 Year Supply Plan'!AO:AO)</f>
        <v>0</v>
      </c>
      <c r="BU66" s="35">
        <f t="shared" si="34"/>
        <v>0</v>
      </c>
      <c r="BV66" s="35">
        <f>SUMIF('5 Year Supply Plan'!A:A,'JZ_BRAND SPLITS'!C66,'5 Year Supply Plan'!AP:AP)</f>
        <v>0</v>
      </c>
      <c r="BW66" s="35">
        <f t="shared" si="35"/>
        <v>0</v>
      </c>
      <c r="BX66" s="35">
        <f>SUMIF('5 Year Supply Plan'!A:A,'JZ_BRAND SPLITS'!C66,'5 Year Supply Plan'!AQ:AQ)</f>
        <v>0</v>
      </c>
      <c r="BY66" s="35">
        <f t="shared" si="36"/>
        <v>0</v>
      </c>
      <c r="BZ66" s="35">
        <f>SUMIF('5 Year Supply Plan'!A:A,'JZ_BRAND SPLITS'!C66,'5 Year Supply Plan'!AR:AR)</f>
        <v>0</v>
      </c>
      <c r="CA66" s="35">
        <f t="shared" si="37"/>
        <v>0</v>
      </c>
      <c r="CB66" s="35">
        <f>SUMIF('5 Year Supply Plan'!A:A,'JZ_BRAND SPLITS'!C66,'5 Year Supply Plan'!AS:AS)</f>
        <v>0</v>
      </c>
      <c r="CC66" s="35">
        <f t="shared" si="38"/>
        <v>0</v>
      </c>
      <c r="CD66" s="35">
        <f>SUMIF('5 Year Supply Plan'!A:A,'JZ_BRAND SPLITS'!C66,'5 Year Supply Plan'!AT:AT)</f>
        <v>0</v>
      </c>
      <c r="CE66" s="35">
        <f t="shared" si="39"/>
        <v>0</v>
      </c>
      <c r="CF66" s="35">
        <f>SUMIF('5 Year Supply Plan'!A:A,'JZ_BRAND SPLITS'!C66,'5 Year Supply Plan'!AU:AU)</f>
        <v>0</v>
      </c>
      <c r="CG66" s="35">
        <f t="shared" si="40"/>
        <v>0</v>
      </c>
      <c r="CH66" s="35">
        <f>SUMIF('5 Year Supply Plan'!A:A,'JZ_BRAND SPLITS'!C66,'5 Year Supply Plan'!AV:AV)</f>
        <v>0</v>
      </c>
      <c r="CI66" s="35">
        <f t="shared" si="41"/>
        <v>0</v>
      </c>
      <c r="CJ66" s="35">
        <f>SUMIF('5 Year Supply Plan'!A:A,'JZ_BRAND SPLITS'!C66,'5 Year Supply Plan'!AW:AW)</f>
        <v>0</v>
      </c>
      <c r="CK66" s="35">
        <f t="shared" si="42"/>
        <v>0</v>
      </c>
      <c r="CL66" s="35">
        <f>SUMIF('5 Year Supply Plan'!A:A,'JZ_BRAND SPLITS'!C66,'5 Year Supply Plan'!AX:AX)</f>
        <v>0</v>
      </c>
      <c r="CM66" s="35">
        <f t="shared" si="43"/>
        <v>0</v>
      </c>
      <c r="CN66" s="35">
        <f>SUMIF('5 Year Supply Plan'!A:A,'JZ_BRAND SPLITS'!C66,'5 Year Supply Plan'!AY:AY)</f>
        <v>0</v>
      </c>
      <c r="CO66" s="35">
        <f t="shared" si="44"/>
        <v>0</v>
      </c>
      <c r="CP66" s="35">
        <f>SUMIF('5 Year Supply Plan'!A:A,'JZ_BRAND SPLITS'!C66,'5 Year Supply Plan'!AZ:AZ)</f>
        <v>0</v>
      </c>
      <c r="CQ66" s="35">
        <f t="shared" si="45"/>
        <v>0</v>
      </c>
      <c r="CR66" s="35">
        <f>SUMIF('5 Year Supply Plan'!A:A,'JZ_BRAND SPLITS'!C66,'5 Year Supply Plan'!BA:BA)</f>
        <v>0</v>
      </c>
      <c r="CS66" s="35">
        <f t="shared" si="46"/>
        <v>0</v>
      </c>
      <c r="CT66" s="35">
        <f>SUMIF('5 Year Supply Plan'!A:A,'JZ_BRAND SPLITS'!C66,'5 Year Supply Plan'!BB:BB)</f>
        <v>0</v>
      </c>
      <c r="CU66" s="35">
        <f t="shared" si="47"/>
        <v>0</v>
      </c>
      <c r="CV66" s="35">
        <f>SUMIF('5 Year Supply Plan'!A:A,'JZ_BRAND SPLITS'!C66,'5 Year Supply Plan'!BC:BC)</f>
        <v>0</v>
      </c>
      <c r="CW66" s="35">
        <f t="shared" si="48"/>
        <v>0</v>
      </c>
      <c r="CX66" s="35">
        <f>SUMIF('5 Year Supply Plan'!A:A,'JZ_BRAND SPLITS'!C66,'5 Year Supply Plan'!BD:BD)</f>
        <v>0</v>
      </c>
      <c r="CY66" s="35">
        <f t="shared" si="49"/>
        <v>0</v>
      </c>
      <c r="CZ66" s="35">
        <f>SUMIF('5 Year Supply Plan'!A:A,'JZ_BRAND SPLITS'!C66,'5 Year Supply Plan'!BE:BE)</f>
        <v>0</v>
      </c>
      <c r="DA66" s="35">
        <f t="shared" si="50"/>
        <v>0</v>
      </c>
      <c r="DB66" s="35">
        <f>SUMIF('5 Year Supply Plan'!A:A,'JZ_BRAND SPLITS'!C66,'5 Year Supply Plan'!BF:BF)</f>
        <v>0</v>
      </c>
      <c r="DC66" s="35">
        <f t="shared" si="51"/>
        <v>0</v>
      </c>
      <c r="DD66" s="35">
        <f>SUMIF('5 Year Supply Plan'!A:A,'JZ_BRAND SPLITS'!C66,'5 Year Supply Plan'!BG:BG)</f>
        <v>0</v>
      </c>
      <c r="DE66" s="35">
        <f t="shared" si="52"/>
        <v>0</v>
      </c>
      <c r="DF66" s="35">
        <f>SUMIF('5 Year Supply Plan'!A:A,'JZ_BRAND SPLITS'!C66,'5 Year Supply Plan'!BH:BH)</f>
        <v>0</v>
      </c>
      <c r="DG66" s="35">
        <f t="shared" si="53"/>
        <v>0</v>
      </c>
      <c r="DH66" s="35">
        <f>SUMIF('5 Year Supply Plan'!A:A,'JZ_BRAND SPLITS'!C66,'5 Year Supply Plan'!BI:BI)</f>
        <v>0</v>
      </c>
      <c r="DI66" s="35">
        <f t="shared" si="54"/>
        <v>0</v>
      </c>
      <c r="DJ66" s="35">
        <f>SUMIF('5 Year Supply Plan'!A:A,'JZ_BRAND SPLITS'!C66,'5 Year Supply Plan'!BJ:BJ)</f>
        <v>0</v>
      </c>
      <c r="DK66" s="35">
        <f t="shared" si="55"/>
        <v>0</v>
      </c>
      <c r="DL66" s="35">
        <f>SUMIF('5 Year Supply Plan'!A:A,'JZ_BRAND SPLITS'!C66,'5 Year Supply Plan'!BK:BK)</f>
        <v>94</v>
      </c>
      <c r="DM66" s="35">
        <f t="shared" si="56"/>
        <v>68.943839061190275</v>
      </c>
      <c r="DN66" s="42">
        <f>SUMIF('5 Year Supply Plan'!A:A,'JZ_BRAND SPLITS'!C66,'5 Year Supply Plan'!BL:BL)</f>
        <v>226</v>
      </c>
      <c r="DO66" s="35">
        <f t="shared" si="57"/>
        <v>165.75859178541489</v>
      </c>
      <c r="DP66" s="35">
        <f>SUMIF('5 Year Supply Plan'!A:A,'JZ_BRAND SPLITS'!C66,'5 Year Supply Plan'!BM:BM)</f>
        <v>0</v>
      </c>
      <c r="DQ66" s="35">
        <f t="shared" si="58"/>
        <v>0</v>
      </c>
      <c r="DR66" s="35">
        <f>SUMIF('5 Year Supply Plan'!A:A,'JZ_BRAND SPLITS'!C66,'5 Year Supply Plan'!BN:BN)</f>
        <v>0</v>
      </c>
      <c r="DS66" s="35">
        <f t="shared" si="59"/>
        <v>0</v>
      </c>
      <c r="DT66" s="39">
        <f t="shared" si="60"/>
        <v>1519.6982397317684</v>
      </c>
      <c r="DU66" s="36">
        <f>SUMIF('5 Year Supply Plan'!A:A,'JZ_BRAND SPLITS'!C66,'5 Year Supply Plan'!BO:BO)</f>
        <v>2072</v>
      </c>
    </row>
    <row r="67" spans="1:125" x14ac:dyDescent="0.25">
      <c r="A67" s="40" t="s">
        <v>287</v>
      </c>
      <c r="B67" s="40" t="s">
        <v>288</v>
      </c>
      <c r="C67" s="40" t="s">
        <v>87</v>
      </c>
      <c r="D67" s="40" t="str">
        <f t="shared" si="0"/>
        <v>P00OPTEASE</v>
      </c>
      <c r="E67" s="41">
        <v>1</v>
      </c>
      <c r="F67" s="35">
        <f>SUMIF('5 Year Supply Plan'!A:A,'JZ_BRAND SPLITS'!C67,'5 Year Supply Plan'!H:H)</f>
        <v>2000</v>
      </c>
      <c r="G67" s="35">
        <f t="shared" si="1"/>
        <v>2000</v>
      </c>
      <c r="H67" s="35">
        <f>SUMIF('5 Year Supply Plan'!A:A,'JZ_BRAND SPLITS'!C67,'5 Year Supply Plan'!I:I)</f>
        <v>2400</v>
      </c>
      <c r="I67" s="35">
        <f t="shared" si="2"/>
        <v>2400</v>
      </c>
      <c r="J67" s="35">
        <f>SUMIF('5 Year Supply Plan'!A:A,'JZ_BRAND SPLITS'!C67,'5 Year Supply Plan'!J:J)</f>
        <v>2000</v>
      </c>
      <c r="K67" s="35">
        <f t="shared" si="3"/>
        <v>2000</v>
      </c>
      <c r="L67" s="35">
        <f>SUMIF('5 Year Supply Plan'!A:A,'JZ_BRAND SPLITS'!C67,'5 Year Supply Plan'!K:K)</f>
        <v>1972</v>
      </c>
      <c r="M67" s="35">
        <f t="shared" si="4"/>
        <v>1972</v>
      </c>
      <c r="N67" s="35">
        <f>SUMIF('5 Year Supply Plan'!A:A,'JZ_BRAND SPLITS'!C67,'5 Year Supply Plan'!L:L)</f>
        <v>1267</v>
      </c>
      <c r="O67" s="35">
        <f t="shared" si="5"/>
        <v>1267</v>
      </c>
      <c r="P67" s="35">
        <f>SUMIF('5 Year Supply Plan'!A:A,'JZ_BRAND SPLITS'!C67,'5 Year Supply Plan'!M:M)</f>
        <v>2022</v>
      </c>
      <c r="Q67" s="35">
        <f t="shared" si="6"/>
        <v>2022</v>
      </c>
      <c r="R67" s="35">
        <f>SUMIF('5 Year Supply Plan'!A:A,'JZ_BRAND SPLITS'!C67,'5 Year Supply Plan'!N:N)</f>
        <v>2087</v>
      </c>
      <c r="S67" s="35">
        <f t="shared" si="7"/>
        <v>2087</v>
      </c>
      <c r="T67" s="35">
        <f>SUMIF('5 Year Supply Plan'!A:A,'JZ_BRAND SPLITS'!C67,'5 Year Supply Plan'!O:O)</f>
        <v>2241</v>
      </c>
      <c r="U67" s="35">
        <f t="shared" si="8"/>
        <v>2241</v>
      </c>
      <c r="V67" s="35">
        <f>SUMIF('5 Year Supply Plan'!A:A,'JZ_BRAND SPLITS'!C67,'5 Year Supply Plan'!P:P)</f>
        <v>2156</v>
      </c>
      <c r="W67" s="35">
        <f t="shared" si="9"/>
        <v>2156</v>
      </c>
      <c r="X67" s="35">
        <f>SUMIF('5 Year Supply Plan'!A:A,'JZ_BRAND SPLITS'!C67,'5 Year Supply Plan'!Q:Q)</f>
        <v>2035</v>
      </c>
      <c r="Y67" s="35">
        <f t="shared" si="10"/>
        <v>2035</v>
      </c>
      <c r="Z67" s="35">
        <f>SUMIF('5 Year Supply Plan'!A:A,'JZ_BRAND SPLITS'!C67,'5 Year Supply Plan'!R:R)</f>
        <v>1857</v>
      </c>
      <c r="AA67" s="35">
        <f t="shared" si="11"/>
        <v>1857</v>
      </c>
      <c r="AB67" s="35">
        <f>SUMIF('5 Year Supply Plan'!A:A,'JZ_BRAND SPLITS'!C67,'5 Year Supply Plan'!S:S)</f>
        <v>2213</v>
      </c>
      <c r="AC67" s="35">
        <f t="shared" si="12"/>
        <v>2213</v>
      </c>
      <c r="AD67" s="35">
        <f>SUMIF('5 Year Supply Plan'!A:A,'JZ_BRAND SPLITS'!C67,'5 Year Supply Plan'!T:T)</f>
        <v>2367</v>
      </c>
      <c r="AE67" s="35">
        <f t="shared" si="13"/>
        <v>2367</v>
      </c>
      <c r="AF67" s="35">
        <f>SUMIF('5 Year Supply Plan'!A:A,'JZ_BRAND SPLITS'!C67,'5 Year Supply Plan'!U:U)</f>
        <v>1885</v>
      </c>
      <c r="AG67" s="35">
        <f t="shared" si="14"/>
        <v>1885</v>
      </c>
      <c r="AH67" s="35">
        <f>SUMIF('5 Year Supply Plan'!A:A,'JZ_BRAND SPLITS'!C67,'5 Year Supply Plan'!V:V)</f>
        <v>2061</v>
      </c>
      <c r="AI67" s="35">
        <f t="shared" si="15"/>
        <v>2061</v>
      </c>
      <c r="AJ67" s="35">
        <f>SUMIF('5 Year Supply Plan'!A:A,'JZ_BRAND SPLITS'!C67,'5 Year Supply Plan'!W:W)</f>
        <v>1779</v>
      </c>
      <c r="AK67" s="35">
        <f t="shared" si="16"/>
        <v>1779</v>
      </c>
      <c r="AL67" s="35">
        <f>SUMIF('5 Year Supply Plan'!A:A,'JZ_BRAND SPLITS'!C67,'5 Year Supply Plan'!X:X)</f>
        <v>1866</v>
      </c>
      <c r="AM67" s="35">
        <f t="shared" si="17"/>
        <v>1866</v>
      </c>
      <c r="AN67" s="35">
        <f>SUMIF('5 Year Supply Plan'!A:A,'JZ_BRAND SPLITS'!C67,'5 Year Supply Plan'!Y:Y)</f>
        <v>1986</v>
      </c>
      <c r="AO67" s="35">
        <f t="shared" si="18"/>
        <v>1986</v>
      </c>
      <c r="AP67" s="35">
        <f>SUMIF('5 Year Supply Plan'!A:A,'JZ_BRAND SPLITS'!C67,'5 Year Supply Plan'!Z:Z)</f>
        <v>2201</v>
      </c>
      <c r="AQ67" s="35">
        <f t="shared" si="19"/>
        <v>2201</v>
      </c>
      <c r="AR67" s="35">
        <f>SUMIF('5 Year Supply Plan'!A:A,'JZ_BRAND SPLITS'!C67,'5 Year Supply Plan'!AA:AA)</f>
        <v>2261</v>
      </c>
      <c r="AS67" s="35">
        <f t="shared" si="20"/>
        <v>2261</v>
      </c>
      <c r="AT67" s="35">
        <f>SUMIF('5 Year Supply Plan'!A:A,'JZ_BRAND SPLITS'!C67,'5 Year Supply Plan'!AB:AB)</f>
        <v>2194</v>
      </c>
      <c r="AU67" s="35">
        <f t="shared" si="21"/>
        <v>2194</v>
      </c>
      <c r="AV67" s="35">
        <f>SUMIF('5 Year Supply Plan'!A:A,'JZ_BRAND SPLITS'!C67,'5 Year Supply Plan'!AC:AC)</f>
        <v>2086</v>
      </c>
      <c r="AW67" s="35">
        <f t="shared" si="22"/>
        <v>2086</v>
      </c>
      <c r="AX67" s="35">
        <f>SUMIF('5 Year Supply Plan'!A:A,'JZ_BRAND SPLITS'!C67,'5 Year Supply Plan'!AD:AD)</f>
        <v>1904</v>
      </c>
      <c r="AY67" s="35">
        <f t="shared" si="23"/>
        <v>1904</v>
      </c>
      <c r="AZ67" s="35">
        <f>SUMIF('5 Year Supply Plan'!A:A,'JZ_BRAND SPLITS'!C67,'5 Year Supply Plan'!AE:AE)</f>
        <v>2272</v>
      </c>
      <c r="BA67" s="35">
        <f t="shared" si="24"/>
        <v>2272</v>
      </c>
      <c r="BB67" s="35">
        <f>SUMIF('5 Year Supply Plan'!A:A,'JZ_BRAND SPLITS'!C67,'5 Year Supply Plan'!AF:AF)</f>
        <v>2429</v>
      </c>
      <c r="BC67" s="35">
        <f t="shared" si="25"/>
        <v>2429</v>
      </c>
      <c r="BD67" s="35">
        <f>SUMIF('5 Year Supply Plan'!A:A,'JZ_BRAND SPLITS'!C67,'5 Year Supply Plan'!AG:AG)</f>
        <v>1931</v>
      </c>
      <c r="BE67" s="35">
        <f t="shared" si="26"/>
        <v>1931</v>
      </c>
      <c r="BF67" s="35">
        <f>SUMIF('5 Year Supply Plan'!A:A,'JZ_BRAND SPLITS'!C67,'5 Year Supply Plan'!AH:AH)</f>
        <v>2105</v>
      </c>
      <c r="BG67" s="35">
        <f t="shared" si="27"/>
        <v>2105</v>
      </c>
      <c r="BH67" s="35">
        <f>SUMIF('5 Year Supply Plan'!A:A,'JZ_BRAND SPLITS'!C67,'5 Year Supply Plan'!AI:AI)</f>
        <v>1811</v>
      </c>
      <c r="BI67" s="35">
        <f t="shared" si="28"/>
        <v>1811</v>
      </c>
      <c r="BJ67" s="35">
        <f>SUMIF('5 Year Supply Plan'!A:A,'JZ_BRAND SPLITS'!C67,'5 Year Supply Plan'!AJ:AJ)</f>
        <v>1908</v>
      </c>
      <c r="BK67" s="35">
        <f t="shared" si="29"/>
        <v>1908</v>
      </c>
      <c r="BL67" s="35">
        <f>SUMIF('5 Year Supply Plan'!A:A,'JZ_BRAND SPLITS'!C67,'5 Year Supply Plan'!AK:AK)</f>
        <v>2032</v>
      </c>
      <c r="BM67" s="35">
        <f t="shared" si="30"/>
        <v>2032</v>
      </c>
      <c r="BN67" s="35">
        <f>SUMIF('5 Year Supply Plan'!A:A,'JZ_BRAND SPLITS'!C67,'5 Year Supply Plan'!AL:AL)</f>
        <v>2278</v>
      </c>
      <c r="BO67" s="35">
        <f t="shared" si="31"/>
        <v>2278</v>
      </c>
      <c r="BP67" s="35">
        <f>SUMIF('5 Year Supply Plan'!A:A,'JZ_BRAND SPLITS'!C67,'5 Year Supply Plan'!AM:AM)</f>
        <v>2361</v>
      </c>
      <c r="BQ67" s="35">
        <f t="shared" si="32"/>
        <v>2361</v>
      </c>
      <c r="BR67" s="35">
        <f>SUMIF('5 Year Supply Plan'!A:A,'JZ_BRAND SPLITS'!C67,'5 Year Supply Plan'!AN:AN)</f>
        <v>2324</v>
      </c>
      <c r="BS67" s="35">
        <f t="shared" si="33"/>
        <v>2324</v>
      </c>
      <c r="BT67" s="35">
        <f>SUMIF('5 Year Supply Plan'!A:A,'JZ_BRAND SPLITS'!C67,'5 Year Supply Plan'!AO:AO)</f>
        <v>2234</v>
      </c>
      <c r="BU67" s="35">
        <f t="shared" si="34"/>
        <v>2234</v>
      </c>
      <c r="BV67" s="35">
        <f>SUMIF('5 Year Supply Plan'!A:A,'JZ_BRAND SPLITS'!C67,'5 Year Supply Plan'!AP:AP)</f>
        <v>2044</v>
      </c>
      <c r="BW67" s="35">
        <f t="shared" si="35"/>
        <v>2044</v>
      </c>
      <c r="BX67" s="35">
        <f>SUMIF('5 Year Supply Plan'!A:A,'JZ_BRAND SPLITS'!C67,'5 Year Supply Plan'!AQ:AQ)</f>
        <v>2439</v>
      </c>
      <c r="BY67" s="35">
        <f t="shared" si="36"/>
        <v>2439</v>
      </c>
      <c r="BZ67" s="35">
        <f>SUMIF('5 Year Supply Plan'!A:A,'JZ_BRAND SPLITS'!C67,'5 Year Supply Plan'!AR:AR)</f>
        <v>2605</v>
      </c>
      <c r="CA67" s="35">
        <f t="shared" si="37"/>
        <v>2605</v>
      </c>
      <c r="CB67" s="35">
        <f>SUMIF('5 Year Supply Plan'!A:A,'JZ_BRAND SPLITS'!C67,'5 Year Supply Plan'!AS:AS)</f>
        <v>2061</v>
      </c>
      <c r="CC67" s="35">
        <f t="shared" si="38"/>
        <v>2061</v>
      </c>
      <c r="CD67" s="35">
        <f>SUMIF('5 Year Supply Plan'!A:A,'JZ_BRAND SPLITS'!C67,'5 Year Supply Plan'!AT:AT)</f>
        <v>2242</v>
      </c>
      <c r="CE67" s="35">
        <f t="shared" si="39"/>
        <v>2242</v>
      </c>
      <c r="CF67" s="35">
        <f>SUMIF('5 Year Supply Plan'!A:A,'JZ_BRAND SPLITS'!C67,'5 Year Supply Plan'!AU:AU)</f>
        <v>1923</v>
      </c>
      <c r="CG67" s="35">
        <f t="shared" si="40"/>
        <v>1923</v>
      </c>
      <c r="CH67" s="35">
        <f>SUMIF('5 Year Supply Plan'!A:A,'JZ_BRAND SPLITS'!C67,'5 Year Supply Plan'!AV:AV)</f>
        <v>2034</v>
      </c>
      <c r="CI67" s="35">
        <f t="shared" si="41"/>
        <v>2034</v>
      </c>
      <c r="CJ67" s="35">
        <f>SUMIF('5 Year Supply Plan'!A:A,'JZ_BRAND SPLITS'!C67,'5 Year Supply Plan'!AW:AW)</f>
        <v>2184</v>
      </c>
      <c r="CK67" s="35">
        <f t="shared" si="42"/>
        <v>2184</v>
      </c>
      <c r="CL67" s="35">
        <f>SUMIF('5 Year Supply Plan'!A:A,'JZ_BRAND SPLITS'!C67,'5 Year Supply Plan'!AX:AX)</f>
        <v>2419</v>
      </c>
      <c r="CM67" s="35">
        <f t="shared" si="43"/>
        <v>2419</v>
      </c>
      <c r="CN67" s="35">
        <f>SUMIF('5 Year Supply Plan'!A:A,'JZ_BRAND SPLITS'!C67,'5 Year Supply Plan'!AY:AY)</f>
        <v>2494</v>
      </c>
      <c r="CO67" s="35">
        <f t="shared" si="44"/>
        <v>2494</v>
      </c>
      <c r="CP67" s="35">
        <f>SUMIF('5 Year Supply Plan'!A:A,'JZ_BRAND SPLITS'!C67,'5 Year Supply Plan'!AZ:AZ)</f>
        <v>2490</v>
      </c>
      <c r="CQ67" s="35">
        <f t="shared" si="45"/>
        <v>2490</v>
      </c>
      <c r="CR67" s="35">
        <f>SUMIF('5 Year Supply Plan'!A:A,'JZ_BRAND SPLITS'!C67,'5 Year Supply Plan'!BA:BA)</f>
        <v>2422</v>
      </c>
      <c r="CS67" s="35">
        <f t="shared" si="46"/>
        <v>2422</v>
      </c>
      <c r="CT67" s="35">
        <f>SUMIF('5 Year Supply Plan'!A:A,'JZ_BRAND SPLITS'!C67,'5 Year Supply Plan'!BB:BB)</f>
        <v>2225</v>
      </c>
      <c r="CU67" s="35">
        <f t="shared" si="47"/>
        <v>2225</v>
      </c>
      <c r="CV67" s="35">
        <f>SUMIF('5 Year Supply Plan'!A:A,'JZ_BRAND SPLITS'!C67,'5 Year Supply Plan'!BC:BC)</f>
        <v>2655</v>
      </c>
      <c r="CW67" s="35">
        <f t="shared" si="48"/>
        <v>2655</v>
      </c>
      <c r="CX67" s="35">
        <f>SUMIF('5 Year Supply Plan'!A:A,'JZ_BRAND SPLITS'!C67,'5 Year Supply Plan'!BD:BD)</f>
        <v>2834</v>
      </c>
      <c r="CY67" s="35">
        <f t="shared" si="49"/>
        <v>2834</v>
      </c>
      <c r="CZ67" s="35">
        <f>SUMIF('5 Year Supply Plan'!A:A,'JZ_BRAND SPLITS'!C67,'5 Year Supply Plan'!BE:BE)</f>
        <v>2230</v>
      </c>
      <c r="DA67" s="35">
        <f t="shared" si="50"/>
        <v>2230</v>
      </c>
      <c r="DB67" s="35">
        <f>SUMIF('5 Year Supply Plan'!A:A,'JZ_BRAND SPLITS'!C67,'5 Year Supply Plan'!BF:BF)</f>
        <v>2412</v>
      </c>
      <c r="DC67" s="35">
        <f t="shared" si="51"/>
        <v>2412</v>
      </c>
      <c r="DD67" s="35">
        <f>SUMIF('5 Year Supply Plan'!A:A,'JZ_BRAND SPLITS'!C67,'5 Year Supply Plan'!BG:BG)</f>
        <v>2069</v>
      </c>
      <c r="DE67" s="35">
        <f t="shared" si="52"/>
        <v>2069</v>
      </c>
      <c r="DF67" s="35">
        <f>SUMIF('5 Year Supply Plan'!A:A,'JZ_BRAND SPLITS'!C67,'5 Year Supply Plan'!BH:BH)</f>
        <v>1973</v>
      </c>
      <c r="DG67" s="35">
        <f t="shared" si="53"/>
        <v>1973</v>
      </c>
      <c r="DH67" s="35">
        <f>SUMIF('5 Year Supply Plan'!A:A,'JZ_BRAND SPLITS'!C67,'5 Year Supply Plan'!BI:BI)</f>
        <v>2007</v>
      </c>
      <c r="DI67" s="35">
        <f t="shared" si="54"/>
        <v>2007</v>
      </c>
      <c r="DJ67" s="35">
        <f>SUMIF('5 Year Supply Plan'!A:A,'JZ_BRAND SPLITS'!C67,'5 Year Supply Plan'!BJ:BJ)</f>
        <v>1902</v>
      </c>
      <c r="DK67" s="35">
        <f t="shared" si="55"/>
        <v>1902</v>
      </c>
      <c r="DL67" s="35">
        <f>SUMIF('5 Year Supply Plan'!A:A,'JZ_BRAND SPLITS'!C67,'5 Year Supply Plan'!BK:BK)</f>
        <v>1793</v>
      </c>
      <c r="DM67" s="35">
        <f t="shared" si="56"/>
        <v>1793</v>
      </c>
      <c r="DN67" s="42">
        <f>SUMIF('5 Year Supply Plan'!A:A,'JZ_BRAND SPLITS'!C67,'5 Year Supply Plan'!BL:BL)</f>
        <v>1859</v>
      </c>
      <c r="DO67" s="35">
        <f t="shared" si="57"/>
        <v>1859</v>
      </c>
      <c r="DP67" s="35">
        <f>SUMIF('5 Year Supply Plan'!A:A,'JZ_BRAND SPLITS'!C67,'5 Year Supply Plan'!BM:BM)</f>
        <v>2152.5</v>
      </c>
      <c r="DQ67" s="35">
        <f t="shared" si="58"/>
        <v>2152.5</v>
      </c>
      <c r="DR67" s="35">
        <f>SUMIF('5 Year Supply Plan'!A:A,'JZ_BRAND SPLITS'!C67,'5 Year Supply Plan'!BN:BN)</f>
        <v>2152.5</v>
      </c>
      <c r="DS67" s="35">
        <f t="shared" si="59"/>
        <v>2152.5</v>
      </c>
      <c r="DT67" s="39">
        <f t="shared" si="60"/>
        <v>126146</v>
      </c>
      <c r="DU67" s="36">
        <f>SUMIF('5 Year Supply Plan'!A:A,'JZ_BRAND SPLITS'!C67,'5 Year Supply Plan'!BO:BO)</f>
        <v>126146</v>
      </c>
    </row>
    <row r="68" spans="1:125" x14ac:dyDescent="0.25">
      <c r="A68" s="40" t="s">
        <v>287</v>
      </c>
      <c r="B68" s="40" t="s">
        <v>288</v>
      </c>
      <c r="C68" s="40" t="s">
        <v>107</v>
      </c>
      <c r="D68" s="40" t="str">
        <f t="shared" ref="D68:D79" si="61">_xlfn.CONCAT(A68,C68)</f>
        <v>P00TRAPEASE</v>
      </c>
      <c r="E68" s="41">
        <v>1</v>
      </c>
      <c r="F68" s="35">
        <f>SUMIF('5 Year Supply Plan'!A:A,'JZ_BRAND SPLITS'!C68,'5 Year Supply Plan'!H:H)</f>
        <v>0</v>
      </c>
      <c r="G68" s="35">
        <f t="shared" ref="G68:G77" si="62">F68*E68</f>
        <v>0</v>
      </c>
      <c r="H68" s="35">
        <f>SUMIF('5 Year Supply Plan'!A:A,'JZ_BRAND SPLITS'!C68,'5 Year Supply Plan'!I:I)</f>
        <v>0</v>
      </c>
      <c r="I68" s="35">
        <f t="shared" ref="I68:I77" si="63">H68*E68</f>
        <v>0</v>
      </c>
      <c r="J68" s="35">
        <f>SUMIF('5 Year Supply Plan'!A:A,'JZ_BRAND SPLITS'!C68,'5 Year Supply Plan'!J:J)</f>
        <v>0</v>
      </c>
      <c r="K68" s="35">
        <f t="shared" ref="K68:K77" si="64">J68*E68</f>
        <v>0</v>
      </c>
      <c r="L68" s="35">
        <f>SUMIF('5 Year Supply Plan'!A:A,'JZ_BRAND SPLITS'!C68,'5 Year Supply Plan'!K:K)</f>
        <v>0</v>
      </c>
      <c r="M68" s="35">
        <f t="shared" ref="M68:M77" si="65">L68*E68</f>
        <v>0</v>
      </c>
      <c r="N68" s="35">
        <f>SUMIF('5 Year Supply Plan'!A:A,'JZ_BRAND SPLITS'!C68,'5 Year Supply Plan'!L:L)</f>
        <v>0</v>
      </c>
      <c r="O68" s="35">
        <f t="shared" ref="O68:O77" si="66">N68*E68</f>
        <v>0</v>
      </c>
      <c r="P68" s="35">
        <f>SUMIF('5 Year Supply Plan'!A:A,'JZ_BRAND SPLITS'!C68,'5 Year Supply Plan'!M:M)</f>
        <v>0</v>
      </c>
      <c r="Q68" s="35">
        <f t="shared" ref="Q68:Q77" si="67">P68*E68</f>
        <v>0</v>
      </c>
      <c r="R68" s="35">
        <f>SUMIF('5 Year Supply Plan'!A:A,'JZ_BRAND SPLITS'!C68,'5 Year Supply Plan'!N:N)</f>
        <v>0</v>
      </c>
      <c r="S68" s="35">
        <f t="shared" ref="S68:S77" si="68">R68*E68</f>
        <v>0</v>
      </c>
      <c r="T68" s="35">
        <f>SUMIF('5 Year Supply Plan'!A:A,'JZ_BRAND SPLITS'!C68,'5 Year Supply Plan'!O:O)</f>
        <v>0</v>
      </c>
      <c r="U68" s="35">
        <f t="shared" ref="U68:U77" si="69">T68*E68</f>
        <v>0</v>
      </c>
      <c r="V68" s="35">
        <f>SUMIF('5 Year Supply Plan'!A:A,'JZ_BRAND SPLITS'!C68,'5 Year Supply Plan'!P:P)</f>
        <v>0</v>
      </c>
      <c r="W68" s="35">
        <f t="shared" ref="W68:W77" si="70">V68*E68</f>
        <v>0</v>
      </c>
      <c r="X68" s="35">
        <f>SUMIF('5 Year Supply Plan'!A:A,'JZ_BRAND SPLITS'!C68,'5 Year Supply Plan'!Q:Q)</f>
        <v>0</v>
      </c>
      <c r="Y68" s="35">
        <f t="shared" ref="Y68:Y77" si="71">X68*E68</f>
        <v>0</v>
      </c>
      <c r="Z68" s="35">
        <f>SUMIF('5 Year Supply Plan'!A:A,'JZ_BRAND SPLITS'!C68,'5 Year Supply Plan'!R:R)</f>
        <v>0</v>
      </c>
      <c r="AA68" s="35">
        <f t="shared" ref="AA68:AA77" si="72">Z68*E68</f>
        <v>0</v>
      </c>
      <c r="AB68" s="35">
        <f>SUMIF('5 Year Supply Plan'!A:A,'JZ_BRAND SPLITS'!C68,'5 Year Supply Plan'!S:S)</f>
        <v>0</v>
      </c>
      <c r="AC68" s="35">
        <f t="shared" ref="AC68:AC77" si="73">AB68*E68</f>
        <v>0</v>
      </c>
      <c r="AD68" s="35">
        <f>SUMIF('5 Year Supply Plan'!A:A,'JZ_BRAND SPLITS'!C68,'5 Year Supply Plan'!T:T)</f>
        <v>0</v>
      </c>
      <c r="AE68" s="35">
        <f t="shared" ref="AE68:AE77" si="74">AD68*E68</f>
        <v>0</v>
      </c>
      <c r="AF68" s="35">
        <f>SUMIF('5 Year Supply Plan'!A:A,'JZ_BRAND SPLITS'!C68,'5 Year Supply Plan'!U:U)</f>
        <v>0</v>
      </c>
      <c r="AG68" s="35">
        <f t="shared" ref="AG68:AG77" si="75">AF68*E68</f>
        <v>0</v>
      </c>
      <c r="AH68" s="35">
        <f>SUMIF('5 Year Supply Plan'!A:A,'JZ_BRAND SPLITS'!C68,'5 Year Supply Plan'!V:V)</f>
        <v>0</v>
      </c>
      <c r="AI68" s="35">
        <f t="shared" ref="AI68:AI77" si="76">AH68*E68</f>
        <v>0</v>
      </c>
      <c r="AJ68" s="35">
        <f>SUMIF('5 Year Supply Plan'!A:A,'JZ_BRAND SPLITS'!C68,'5 Year Supply Plan'!W:W)</f>
        <v>0</v>
      </c>
      <c r="AK68" s="35">
        <f t="shared" ref="AK68:AK77" si="77">E68*AJ68</f>
        <v>0</v>
      </c>
      <c r="AL68" s="35">
        <f>SUMIF('5 Year Supply Plan'!A:A,'JZ_BRAND SPLITS'!C68,'5 Year Supply Plan'!X:X)</f>
        <v>0</v>
      </c>
      <c r="AM68" s="35">
        <f t="shared" ref="AM68:AM77" si="78">AL68*E68</f>
        <v>0</v>
      </c>
      <c r="AN68" s="35">
        <f>SUMIF('5 Year Supply Plan'!A:A,'JZ_BRAND SPLITS'!C68,'5 Year Supply Plan'!Y:Y)</f>
        <v>0</v>
      </c>
      <c r="AO68" s="35">
        <f t="shared" ref="AO68:AO77" si="79">AN68*E68</f>
        <v>0</v>
      </c>
      <c r="AP68" s="35">
        <f>SUMIF('5 Year Supply Plan'!A:A,'JZ_BRAND SPLITS'!C68,'5 Year Supply Plan'!Z:Z)</f>
        <v>0</v>
      </c>
      <c r="AQ68" s="35">
        <f t="shared" ref="AQ68:AQ77" si="80">AP68*E68</f>
        <v>0</v>
      </c>
      <c r="AR68" s="35">
        <f>SUMIF('5 Year Supply Plan'!A:A,'JZ_BRAND SPLITS'!C68,'5 Year Supply Plan'!AA:AA)</f>
        <v>0</v>
      </c>
      <c r="AS68" s="35">
        <f t="shared" ref="AS68:AS77" si="81">AR68*E68</f>
        <v>0</v>
      </c>
      <c r="AT68" s="35">
        <f>SUMIF('5 Year Supply Plan'!A:A,'JZ_BRAND SPLITS'!C68,'5 Year Supply Plan'!AB:AB)</f>
        <v>0</v>
      </c>
      <c r="AU68" s="35">
        <f t="shared" ref="AU68:AU77" si="82">AT68*E68</f>
        <v>0</v>
      </c>
      <c r="AV68" s="35">
        <f>SUMIF('5 Year Supply Plan'!A:A,'JZ_BRAND SPLITS'!C68,'5 Year Supply Plan'!AC:AC)</f>
        <v>0</v>
      </c>
      <c r="AW68" s="35">
        <f t="shared" ref="AW68:AW77" si="83">AV68*E68</f>
        <v>0</v>
      </c>
      <c r="AX68" s="35">
        <f>SUMIF('5 Year Supply Plan'!A:A,'JZ_BRAND SPLITS'!C68,'5 Year Supply Plan'!AD:AD)</f>
        <v>0</v>
      </c>
      <c r="AY68" s="35">
        <f t="shared" ref="AY68:AY77" si="84">AX68*E68</f>
        <v>0</v>
      </c>
      <c r="AZ68" s="35">
        <f>SUMIF('5 Year Supply Plan'!A:A,'JZ_BRAND SPLITS'!C68,'5 Year Supply Plan'!AE:AE)</f>
        <v>0</v>
      </c>
      <c r="BA68" s="35">
        <f t="shared" ref="BA68:BA77" si="85">AZ68*E68</f>
        <v>0</v>
      </c>
      <c r="BB68" s="35">
        <f>SUMIF('5 Year Supply Plan'!A:A,'JZ_BRAND SPLITS'!C68,'5 Year Supply Plan'!AF:AF)</f>
        <v>0</v>
      </c>
      <c r="BC68" s="35">
        <f t="shared" ref="BC68:BC77" si="86">BB68*E68</f>
        <v>0</v>
      </c>
      <c r="BD68" s="35">
        <f>SUMIF('5 Year Supply Plan'!A:A,'JZ_BRAND SPLITS'!C68,'5 Year Supply Plan'!AG:AG)</f>
        <v>0</v>
      </c>
      <c r="BE68" s="35">
        <f t="shared" ref="BE68:BE77" si="87">BD68*E68</f>
        <v>0</v>
      </c>
      <c r="BF68" s="35">
        <f>SUMIF('5 Year Supply Plan'!A:A,'JZ_BRAND SPLITS'!C68,'5 Year Supply Plan'!AH:AH)</f>
        <v>0</v>
      </c>
      <c r="BG68" s="35">
        <f t="shared" ref="BG68:BG77" si="88">BF68*E68</f>
        <v>0</v>
      </c>
      <c r="BH68" s="35">
        <f>SUMIF('5 Year Supply Plan'!A:A,'JZ_BRAND SPLITS'!C68,'5 Year Supply Plan'!AI:AI)</f>
        <v>0</v>
      </c>
      <c r="BI68" s="35">
        <f t="shared" ref="BI68:BI77" si="89">BH68*E68</f>
        <v>0</v>
      </c>
      <c r="BJ68" s="35">
        <f>SUMIF('5 Year Supply Plan'!A:A,'JZ_BRAND SPLITS'!C68,'5 Year Supply Plan'!AJ:AJ)</f>
        <v>0</v>
      </c>
      <c r="BK68" s="35">
        <f t="shared" ref="BK68:BK77" si="90">BJ68*E68</f>
        <v>0</v>
      </c>
      <c r="BL68" s="35">
        <f>SUMIF('5 Year Supply Plan'!A:A,'JZ_BRAND SPLITS'!C68,'5 Year Supply Plan'!AK:AK)</f>
        <v>0</v>
      </c>
      <c r="BM68" s="35">
        <f t="shared" ref="BM68:BM77" si="91">BL68*E68</f>
        <v>0</v>
      </c>
      <c r="BN68" s="35">
        <f>SUMIF('5 Year Supply Plan'!A:A,'JZ_BRAND SPLITS'!C68,'5 Year Supply Plan'!AL:AL)</f>
        <v>0</v>
      </c>
      <c r="BO68" s="35">
        <f t="shared" ref="BO68:BO77" si="92">BN68*E68</f>
        <v>0</v>
      </c>
      <c r="BP68" s="35">
        <f>SUMIF('5 Year Supply Plan'!A:A,'JZ_BRAND SPLITS'!C68,'5 Year Supply Plan'!AM:AM)</f>
        <v>0</v>
      </c>
      <c r="BQ68" s="35">
        <f t="shared" ref="BQ68:BQ77" si="93">BP68*E68</f>
        <v>0</v>
      </c>
      <c r="BR68" s="35">
        <f>SUMIF('5 Year Supply Plan'!A:A,'JZ_BRAND SPLITS'!C68,'5 Year Supply Plan'!AN:AN)</f>
        <v>0</v>
      </c>
      <c r="BS68" s="35">
        <f t="shared" ref="BS68:BS77" si="94">BR68*E68</f>
        <v>0</v>
      </c>
      <c r="BT68" s="35">
        <f>SUMIF('5 Year Supply Plan'!A:A,'JZ_BRAND SPLITS'!C68,'5 Year Supply Plan'!AO:AO)</f>
        <v>0</v>
      </c>
      <c r="BU68" s="35">
        <f t="shared" ref="BU68:BU77" si="95">BT68*E68</f>
        <v>0</v>
      </c>
      <c r="BV68" s="35">
        <f>SUMIF('5 Year Supply Plan'!A:A,'JZ_BRAND SPLITS'!C68,'5 Year Supply Plan'!AP:AP)</f>
        <v>0</v>
      </c>
      <c r="BW68" s="35">
        <f t="shared" ref="BW68:BW77" si="96">BV68*E68</f>
        <v>0</v>
      </c>
      <c r="BX68" s="35">
        <f>SUMIF('5 Year Supply Plan'!A:A,'JZ_BRAND SPLITS'!C68,'5 Year Supply Plan'!AQ:AQ)</f>
        <v>0</v>
      </c>
      <c r="BY68" s="35">
        <f t="shared" ref="BY68:BY77" si="97">BX68*E68</f>
        <v>0</v>
      </c>
      <c r="BZ68" s="35">
        <f>SUMIF('5 Year Supply Plan'!A:A,'JZ_BRAND SPLITS'!C68,'5 Year Supply Plan'!AR:AR)</f>
        <v>0</v>
      </c>
      <c r="CA68" s="35">
        <f t="shared" ref="CA68:CA77" si="98">BZ68*E68</f>
        <v>0</v>
      </c>
      <c r="CB68" s="35">
        <f>SUMIF('5 Year Supply Plan'!A:A,'JZ_BRAND SPLITS'!C68,'5 Year Supply Plan'!AS:AS)</f>
        <v>0</v>
      </c>
      <c r="CC68" s="35">
        <f t="shared" ref="CC68:CC77" si="99">CB68*E68</f>
        <v>0</v>
      </c>
      <c r="CD68" s="35">
        <f>SUMIF('5 Year Supply Plan'!A:A,'JZ_BRAND SPLITS'!C68,'5 Year Supply Plan'!AT:AT)</f>
        <v>0</v>
      </c>
      <c r="CE68" s="35">
        <f t="shared" ref="CE68:CE77" si="100">CD68*E68</f>
        <v>0</v>
      </c>
      <c r="CF68" s="35">
        <f>SUMIF('5 Year Supply Plan'!A:A,'JZ_BRAND SPLITS'!C68,'5 Year Supply Plan'!AU:AU)</f>
        <v>0</v>
      </c>
      <c r="CG68" s="35">
        <f t="shared" ref="CG68:CG77" si="101">CF68*E68</f>
        <v>0</v>
      </c>
      <c r="CH68" s="35">
        <f>SUMIF('5 Year Supply Plan'!A:A,'JZ_BRAND SPLITS'!C68,'5 Year Supply Plan'!AV:AV)</f>
        <v>0</v>
      </c>
      <c r="CI68" s="35">
        <f t="shared" ref="CI68:CI77" si="102">CH68*E68</f>
        <v>0</v>
      </c>
      <c r="CJ68" s="35">
        <f>SUMIF('5 Year Supply Plan'!A:A,'JZ_BRAND SPLITS'!C68,'5 Year Supply Plan'!AW:AW)</f>
        <v>0</v>
      </c>
      <c r="CK68" s="35">
        <f t="shared" ref="CK68:CK77" si="103">CJ68*E68</f>
        <v>0</v>
      </c>
      <c r="CL68" s="35">
        <f>SUMIF('5 Year Supply Plan'!A:A,'JZ_BRAND SPLITS'!C68,'5 Year Supply Plan'!AX:AX)</f>
        <v>0</v>
      </c>
      <c r="CM68" s="35">
        <f t="shared" ref="CM68:CM77" si="104">CL68*E68</f>
        <v>0</v>
      </c>
      <c r="CN68" s="35">
        <f>SUMIF('5 Year Supply Plan'!A:A,'JZ_BRAND SPLITS'!C68,'5 Year Supply Plan'!AY:AY)</f>
        <v>0</v>
      </c>
      <c r="CO68" s="35">
        <f t="shared" ref="CO68:CO77" si="105">CN68*E68</f>
        <v>0</v>
      </c>
      <c r="CP68" s="35">
        <f>SUMIF('5 Year Supply Plan'!A:A,'JZ_BRAND SPLITS'!C68,'5 Year Supply Plan'!AZ:AZ)</f>
        <v>0</v>
      </c>
      <c r="CQ68" s="35">
        <f t="shared" ref="CQ68:CQ77" si="106">CP68*E68</f>
        <v>0</v>
      </c>
      <c r="CR68" s="35">
        <f>SUMIF('5 Year Supply Plan'!A:A,'JZ_BRAND SPLITS'!C68,'5 Year Supply Plan'!BA:BA)</f>
        <v>0</v>
      </c>
      <c r="CS68" s="35">
        <f t="shared" ref="CS68:CS77" si="107">CR68*E68</f>
        <v>0</v>
      </c>
      <c r="CT68" s="35">
        <f>SUMIF('5 Year Supply Plan'!A:A,'JZ_BRAND SPLITS'!C68,'5 Year Supply Plan'!BB:BB)</f>
        <v>0</v>
      </c>
      <c r="CU68" s="35">
        <f t="shared" ref="CU68:CU77" si="108">CT68*E68</f>
        <v>0</v>
      </c>
      <c r="CV68" s="35">
        <f>SUMIF('5 Year Supply Plan'!A:A,'JZ_BRAND SPLITS'!C68,'5 Year Supply Plan'!BC:BC)</f>
        <v>0</v>
      </c>
      <c r="CW68" s="35">
        <f t="shared" ref="CW68:CW77" si="109">CV68*E68</f>
        <v>0</v>
      </c>
      <c r="CX68" s="35">
        <f>SUMIF('5 Year Supply Plan'!A:A,'JZ_BRAND SPLITS'!C68,'5 Year Supply Plan'!BD:BD)</f>
        <v>0</v>
      </c>
      <c r="CY68" s="35">
        <f t="shared" ref="CY68:CY77" si="110">CX68*E68</f>
        <v>0</v>
      </c>
      <c r="CZ68" s="35">
        <f>SUMIF('5 Year Supply Plan'!A:A,'JZ_BRAND SPLITS'!C68,'5 Year Supply Plan'!BE:BE)</f>
        <v>0</v>
      </c>
      <c r="DA68" s="35">
        <f t="shared" ref="DA68:DA77" si="111">CZ68*E68</f>
        <v>0</v>
      </c>
      <c r="DB68" s="35">
        <f>SUMIF('5 Year Supply Plan'!A:A,'JZ_BRAND SPLITS'!C68,'5 Year Supply Plan'!BF:BF)</f>
        <v>0</v>
      </c>
      <c r="DC68" s="35">
        <f t="shared" ref="DC68:DC77" si="112">DB68*E68</f>
        <v>0</v>
      </c>
      <c r="DD68" s="35">
        <f>SUMIF('5 Year Supply Plan'!A:A,'JZ_BRAND SPLITS'!C68,'5 Year Supply Plan'!BG:BG)</f>
        <v>0</v>
      </c>
      <c r="DE68" s="35">
        <f t="shared" ref="DE68:DE77" si="113">DD68*E68</f>
        <v>0</v>
      </c>
      <c r="DF68" s="35">
        <f>SUMIF('5 Year Supply Plan'!A:A,'JZ_BRAND SPLITS'!C68,'5 Year Supply Plan'!BH:BH)</f>
        <v>0</v>
      </c>
      <c r="DG68" s="35">
        <f t="shared" ref="DG68:DG77" si="114">DF68*E68</f>
        <v>0</v>
      </c>
      <c r="DH68" s="35">
        <f>SUMIF('5 Year Supply Plan'!A:A,'JZ_BRAND SPLITS'!C68,'5 Year Supply Plan'!BI:BI)</f>
        <v>0</v>
      </c>
      <c r="DI68" s="35">
        <f t="shared" ref="DI68:DI77" si="115">DH68*E68</f>
        <v>0</v>
      </c>
      <c r="DJ68" s="35">
        <f>SUMIF('5 Year Supply Plan'!A:A,'JZ_BRAND SPLITS'!C68,'5 Year Supply Plan'!BJ:BJ)</f>
        <v>0</v>
      </c>
      <c r="DK68" s="35">
        <f t="shared" ref="DK68:DK77" si="116">DJ68*E68</f>
        <v>0</v>
      </c>
      <c r="DL68" s="35">
        <f>SUMIF('5 Year Supply Plan'!A:A,'JZ_BRAND SPLITS'!C68,'5 Year Supply Plan'!BK:BK)</f>
        <v>0</v>
      </c>
      <c r="DM68" s="35">
        <f t="shared" ref="DM68:DM77" si="117">DL68*E68</f>
        <v>0</v>
      </c>
      <c r="DN68" s="42">
        <f>SUMIF('5 Year Supply Plan'!A:A,'JZ_BRAND SPLITS'!C68,'5 Year Supply Plan'!BL:BL)</f>
        <v>0</v>
      </c>
      <c r="DO68" s="35">
        <f t="shared" ref="DO68:DO77" si="118">DN68*E68</f>
        <v>0</v>
      </c>
      <c r="DP68" s="35">
        <f>SUMIF('5 Year Supply Plan'!A:A,'JZ_BRAND SPLITS'!C68,'5 Year Supply Plan'!BM:BM)</f>
        <v>0</v>
      </c>
      <c r="DQ68" s="35">
        <f t="shared" ref="DQ68:DQ77" si="119">DP68*E68</f>
        <v>0</v>
      </c>
      <c r="DR68" s="35">
        <f>SUMIF('5 Year Supply Plan'!A:A,'JZ_BRAND SPLITS'!C68,'5 Year Supply Plan'!BN:BN)</f>
        <v>0</v>
      </c>
      <c r="DS68" s="35">
        <f t="shared" ref="DS68:DS77" si="120">DR68*E68</f>
        <v>0</v>
      </c>
      <c r="DT68" s="39">
        <f t="shared" ref="DT68:DT77" si="121">DS68+DQ68+DO68+DM68+DK68+DI68+DG68+DE68+DC68+DA68+CY68+CW68+CU68+CS68+CQ68+CO68+CM68+CK68+CI68+CG68+CE68+CC68+CA68+BY68+BW68+BU68+BS68+BQ68+BO68+BM68+BK68+BI68+BG68+BE68+BC68+BA68+AY68+AW68+AU68+AS68+AQ68+AO68+AM68+AK68+AI68+AG68+AE68+AC68+AA68+Y68+W68+U68+S68+Q68+O68+M68+K68+I68+G68</f>
        <v>0</v>
      </c>
      <c r="DU68" s="36">
        <f>SUMIF('5 Year Supply Plan'!A:A,'JZ_BRAND SPLITS'!C68,'5 Year Supply Plan'!BO:BO)</f>
        <v>0</v>
      </c>
    </row>
    <row r="69" spans="1:125" x14ac:dyDescent="0.25">
      <c r="A69" s="40" t="s">
        <v>289</v>
      </c>
      <c r="B69" s="40" t="s">
        <v>97</v>
      </c>
      <c r="C69" s="40" t="s">
        <v>97</v>
      </c>
      <c r="D69" s="40" t="str">
        <f t="shared" si="61"/>
        <v>T01ASMART</v>
      </c>
      <c r="E69" s="41">
        <v>0.11874762968269346</v>
      </c>
      <c r="F69" s="35">
        <f>SUMIF('5 Year Supply Plan'!A:A,'JZ_BRAND SPLITS'!C69,'5 Year Supply Plan'!H:H)</f>
        <v>6467.5507809999999</v>
      </c>
      <c r="G69" s="35">
        <f t="shared" si="62"/>
        <v>768.00632509620289</v>
      </c>
      <c r="H69" s="35">
        <f>SUMIF('5 Year Supply Plan'!A:A,'JZ_BRAND SPLITS'!C69,'5 Year Supply Plan'!I:I)</f>
        <v>8160</v>
      </c>
      <c r="I69" s="35">
        <f t="shared" si="63"/>
        <v>968.98065821077864</v>
      </c>
      <c r="J69" s="35">
        <f>SUMIF('5 Year Supply Plan'!A:A,'JZ_BRAND SPLITS'!C69,'5 Year Supply Plan'!J:J)</f>
        <v>6800</v>
      </c>
      <c r="K69" s="35">
        <f t="shared" si="64"/>
        <v>807.48388184231555</v>
      </c>
      <c r="L69" s="35">
        <f>SUMIF('5 Year Supply Plan'!A:A,'JZ_BRAND SPLITS'!C69,'5 Year Supply Plan'!K:K)</f>
        <v>3872</v>
      </c>
      <c r="M69" s="35">
        <f t="shared" si="65"/>
        <v>459.79082213138912</v>
      </c>
      <c r="N69" s="35">
        <f>SUMIF('5 Year Supply Plan'!A:A,'JZ_BRAND SPLITS'!C69,'5 Year Supply Plan'!L:L)</f>
        <v>1460</v>
      </c>
      <c r="O69" s="35">
        <f t="shared" si="66"/>
        <v>173.37153933673247</v>
      </c>
      <c r="P69" s="35">
        <f>SUMIF('5 Year Supply Plan'!A:A,'JZ_BRAND SPLITS'!C69,'5 Year Supply Plan'!M:M)</f>
        <v>3655</v>
      </c>
      <c r="Q69" s="35">
        <f t="shared" si="67"/>
        <v>434.02258649024463</v>
      </c>
      <c r="R69" s="35">
        <f>SUMIF('5 Year Supply Plan'!A:A,'JZ_BRAND SPLITS'!C69,'5 Year Supply Plan'!N:N)</f>
        <v>3840</v>
      </c>
      <c r="S69" s="35">
        <f t="shared" si="68"/>
        <v>455.9908979815429</v>
      </c>
      <c r="T69" s="35">
        <f>SUMIF('5 Year Supply Plan'!A:A,'JZ_BRAND SPLITS'!C69,'5 Year Supply Plan'!O:O)</f>
        <v>3855</v>
      </c>
      <c r="U69" s="35">
        <f t="shared" si="69"/>
        <v>457.77211242678328</v>
      </c>
      <c r="V69" s="35">
        <f>SUMIF('5 Year Supply Plan'!A:A,'JZ_BRAND SPLITS'!C69,'5 Year Supply Plan'!P:P)</f>
        <v>4119</v>
      </c>
      <c r="W69" s="35">
        <f t="shared" si="70"/>
        <v>489.12148666301437</v>
      </c>
      <c r="X69" s="35">
        <f>SUMIF('5 Year Supply Plan'!A:A,'JZ_BRAND SPLITS'!C69,'5 Year Supply Plan'!Q:Q)</f>
        <v>4826</v>
      </c>
      <c r="Y69" s="35">
        <f t="shared" si="71"/>
        <v>573.07606084867871</v>
      </c>
      <c r="Z69" s="35">
        <f>SUMIF('5 Year Supply Plan'!A:A,'JZ_BRAND SPLITS'!C69,'5 Year Supply Plan'!R:R)</f>
        <v>4424</v>
      </c>
      <c r="AA69" s="35">
        <f t="shared" si="72"/>
        <v>525.33951371623584</v>
      </c>
      <c r="AB69" s="35">
        <f>SUMIF('5 Year Supply Plan'!A:A,'JZ_BRAND SPLITS'!C69,'5 Year Supply Plan'!S:S)</f>
        <v>5046</v>
      </c>
      <c r="AC69" s="35">
        <f t="shared" si="73"/>
        <v>599.20053937887121</v>
      </c>
      <c r="AD69" s="35">
        <f>SUMIF('5 Year Supply Plan'!A:A,'JZ_BRAND SPLITS'!C69,'5 Year Supply Plan'!T:T)</f>
        <v>5080</v>
      </c>
      <c r="AE69" s="35">
        <f t="shared" si="74"/>
        <v>603.23795878808278</v>
      </c>
      <c r="AF69" s="35">
        <f>SUMIF('5 Year Supply Plan'!A:A,'JZ_BRAND SPLITS'!C69,'5 Year Supply Plan'!U:U)</f>
        <v>4512</v>
      </c>
      <c r="AG69" s="35">
        <f t="shared" si="75"/>
        <v>535.78930512831289</v>
      </c>
      <c r="AH69" s="35">
        <f>SUMIF('5 Year Supply Plan'!A:A,'JZ_BRAND SPLITS'!C69,'5 Year Supply Plan'!V:V)</f>
        <v>5040</v>
      </c>
      <c r="AI69" s="35">
        <f t="shared" si="76"/>
        <v>598.48805360077506</v>
      </c>
      <c r="AJ69" s="35">
        <f>SUMIF('5 Year Supply Plan'!A:A,'JZ_BRAND SPLITS'!C69,'5 Year Supply Plan'!W:W)</f>
        <v>4784</v>
      </c>
      <c r="AK69" s="35">
        <f t="shared" si="77"/>
        <v>568.08866040200553</v>
      </c>
      <c r="AL69" s="35">
        <f>SUMIF('5 Year Supply Plan'!A:A,'JZ_BRAND SPLITS'!C69,'5 Year Supply Plan'!X:X)</f>
        <v>4892</v>
      </c>
      <c r="AM69" s="35">
        <f t="shared" si="78"/>
        <v>580.91340440773638</v>
      </c>
      <c r="AN69" s="35">
        <f>SUMIF('5 Year Supply Plan'!A:A,'JZ_BRAND SPLITS'!C69,'5 Year Supply Plan'!Y:Y)</f>
        <v>4587</v>
      </c>
      <c r="AO69" s="35">
        <f t="shared" si="79"/>
        <v>544.6953773545149</v>
      </c>
      <c r="AP69" s="35">
        <f>SUMIF('5 Year Supply Plan'!A:A,'JZ_BRAND SPLITS'!C69,'5 Year Supply Plan'!Z:Z)</f>
        <v>4466</v>
      </c>
      <c r="AQ69" s="35">
        <f t="shared" si="80"/>
        <v>530.32691416290902</v>
      </c>
      <c r="AR69" s="35">
        <f>SUMIF('5 Year Supply Plan'!A:A,'JZ_BRAND SPLITS'!C69,'5 Year Supply Plan'!AA:AA)</f>
        <v>4695</v>
      </c>
      <c r="AS69" s="35">
        <f t="shared" si="81"/>
        <v>557.52012136024587</v>
      </c>
      <c r="AT69" s="35">
        <f>SUMIF('5 Year Supply Plan'!A:A,'JZ_BRAND SPLITS'!C69,'5 Year Supply Plan'!AB:AB)</f>
        <v>4966</v>
      </c>
      <c r="AU69" s="35">
        <f t="shared" si="82"/>
        <v>589.70072900425578</v>
      </c>
      <c r="AV69" s="35">
        <f>SUMIF('5 Year Supply Plan'!A:A,'JZ_BRAND SPLITS'!C69,'5 Year Supply Plan'!AC:AC)</f>
        <v>5013</v>
      </c>
      <c r="AW69" s="35">
        <f t="shared" si="83"/>
        <v>595.28186759934238</v>
      </c>
      <c r="AX69" s="35">
        <f>SUMIF('5 Year Supply Plan'!A:A,'JZ_BRAND SPLITS'!C69,'5 Year Supply Plan'!AD:AD)</f>
        <v>4596</v>
      </c>
      <c r="AY69" s="35">
        <f t="shared" si="84"/>
        <v>545.76410602165913</v>
      </c>
      <c r="AZ69" s="35">
        <f>SUMIF('5 Year Supply Plan'!A:A,'JZ_BRAND SPLITS'!C69,'5 Year Supply Plan'!AE:AE)</f>
        <v>5238</v>
      </c>
      <c r="BA69" s="35">
        <f t="shared" si="85"/>
        <v>622.00008427794842</v>
      </c>
      <c r="BB69" s="35">
        <f>SUMIF('5 Year Supply Plan'!A:A,'JZ_BRAND SPLITS'!C69,'5 Year Supply Plan'!AF:AF)</f>
        <v>5273</v>
      </c>
      <c r="BC69" s="35">
        <f t="shared" si="86"/>
        <v>626.1562513168426</v>
      </c>
      <c r="BD69" s="35">
        <f>SUMIF('5 Year Supply Plan'!A:A,'JZ_BRAND SPLITS'!C69,'5 Year Supply Plan'!AG:AG)</f>
        <v>4682</v>
      </c>
      <c r="BE69" s="35">
        <f t="shared" si="87"/>
        <v>555.97640217437083</v>
      </c>
      <c r="BF69" s="35">
        <f>SUMIF('5 Year Supply Plan'!A:A,'JZ_BRAND SPLITS'!C69,'5 Year Supply Plan'!AH:AH)</f>
        <v>5232</v>
      </c>
      <c r="BG69" s="35">
        <f t="shared" si="88"/>
        <v>621.28759849985215</v>
      </c>
      <c r="BH69" s="35">
        <f>SUMIF('5 Year Supply Plan'!A:A,'JZ_BRAND SPLITS'!C69,'5 Year Supply Plan'!AI:AI)</f>
        <v>4960</v>
      </c>
      <c r="BI69" s="35">
        <f t="shared" si="89"/>
        <v>588.98824322615963</v>
      </c>
      <c r="BJ69" s="35">
        <f>SUMIF('5 Year Supply Plan'!A:A,'JZ_BRAND SPLITS'!C69,'5 Year Supply Plan'!AJ:AJ)</f>
        <v>5071</v>
      </c>
      <c r="BK69" s="35">
        <f t="shared" si="90"/>
        <v>602.16923012093855</v>
      </c>
      <c r="BL69" s="35">
        <f>SUMIF('5 Year Supply Plan'!A:A,'JZ_BRAND SPLITS'!C69,'5 Year Supply Plan'!AK:AK)</f>
        <v>4763</v>
      </c>
      <c r="BM69" s="35">
        <f t="shared" si="91"/>
        <v>565.594960178669</v>
      </c>
      <c r="BN69" s="35">
        <f>SUMIF('5 Year Supply Plan'!A:A,'JZ_BRAND SPLITS'!C69,'5 Year Supply Plan'!AL:AL)</f>
        <v>4610</v>
      </c>
      <c r="BO69" s="35">
        <f t="shared" si="92"/>
        <v>547.4265728372169</v>
      </c>
      <c r="BP69" s="35">
        <f>SUMIF('5 Year Supply Plan'!A:A,'JZ_BRAND SPLITS'!C69,'5 Year Supply Plan'!AM:AM)</f>
        <v>4802</v>
      </c>
      <c r="BQ69" s="35">
        <f t="shared" si="93"/>
        <v>570.22611773629399</v>
      </c>
      <c r="BR69" s="35">
        <f>SUMIF('5 Year Supply Plan'!A:A,'JZ_BRAND SPLITS'!C69,'5 Year Supply Plan'!AN:AN)</f>
        <v>5084</v>
      </c>
      <c r="BS69" s="35">
        <f t="shared" si="94"/>
        <v>603.71294930681358</v>
      </c>
      <c r="BT69" s="35">
        <f>SUMIF('5 Year Supply Plan'!A:A,'JZ_BRAND SPLITS'!C69,'5 Year Supply Plan'!AO:AO)</f>
        <v>5150</v>
      </c>
      <c r="BU69" s="35">
        <f t="shared" si="95"/>
        <v>611.55029286587137</v>
      </c>
      <c r="BV69" s="35">
        <f>SUMIF('5 Year Supply Plan'!A:A,'JZ_BRAND SPLITS'!C69,'5 Year Supply Plan'!AP:AP)</f>
        <v>4725</v>
      </c>
      <c r="BW69" s="35">
        <f t="shared" si="96"/>
        <v>561.08255025072663</v>
      </c>
      <c r="BX69" s="35">
        <f>SUMIF('5 Year Supply Plan'!A:A,'JZ_BRAND SPLITS'!C69,'5 Year Supply Plan'!AQ:AQ)</f>
        <v>5386</v>
      </c>
      <c r="BY69" s="35">
        <f t="shared" si="97"/>
        <v>639.57473347098698</v>
      </c>
      <c r="BZ69" s="35">
        <f>SUMIF('5 Year Supply Plan'!A:A,'JZ_BRAND SPLITS'!C69,'5 Year Supply Plan'!AR:AR)</f>
        <v>5421</v>
      </c>
      <c r="CA69" s="35">
        <f t="shared" si="98"/>
        <v>643.73090050988128</v>
      </c>
      <c r="CB69" s="35">
        <f>SUMIF('5 Year Supply Plan'!A:A,'JZ_BRAND SPLITS'!C69,'5 Year Supply Plan'!AS:AS)</f>
        <v>4814</v>
      </c>
      <c r="CC69" s="35">
        <f t="shared" si="99"/>
        <v>571.65108929248629</v>
      </c>
      <c r="CD69" s="35">
        <f>SUMIF('5 Year Supply Plan'!A:A,'JZ_BRAND SPLITS'!C69,'5 Year Supply Plan'!AT:AT)</f>
        <v>5380</v>
      </c>
      <c r="CE69" s="35">
        <f t="shared" si="100"/>
        <v>638.86224769289083</v>
      </c>
      <c r="CF69" s="35">
        <f>SUMIF('5 Year Supply Plan'!A:A,'JZ_BRAND SPLITS'!C69,'5 Year Supply Plan'!AU:AU)</f>
        <v>5096</v>
      </c>
      <c r="CG69" s="35">
        <f t="shared" si="101"/>
        <v>605.13792086300589</v>
      </c>
      <c r="CH69" s="35">
        <f>SUMIF('5 Year Supply Plan'!A:A,'JZ_BRAND SPLITS'!C69,'5 Year Supply Plan'!AV:AV)</f>
        <v>5216</v>
      </c>
      <c r="CI69" s="35">
        <f t="shared" si="102"/>
        <v>619.38763642492916</v>
      </c>
      <c r="CJ69" s="35">
        <f>SUMIF('5 Year Supply Plan'!A:A,'JZ_BRAND SPLITS'!C69,'5 Year Supply Plan'!AW:AW)</f>
        <v>4912</v>
      </c>
      <c r="CK69" s="35">
        <f t="shared" si="103"/>
        <v>583.2883570013903</v>
      </c>
      <c r="CL69" s="35">
        <f>SUMIF('5 Year Supply Plan'!A:A,'JZ_BRAND SPLITS'!C69,'5 Year Supply Plan'!AX:AX)</f>
        <v>4792</v>
      </c>
      <c r="CM69" s="35">
        <f t="shared" si="104"/>
        <v>569.03864143946703</v>
      </c>
      <c r="CN69" s="35">
        <f>SUMIF('5 Year Supply Plan'!A:A,'JZ_BRAND SPLITS'!C69,'5 Year Supply Plan'!AY:AY)</f>
        <v>5044</v>
      </c>
      <c r="CO69" s="35">
        <f t="shared" si="105"/>
        <v>598.96304411950587</v>
      </c>
      <c r="CP69" s="35">
        <f>SUMIF('5 Year Supply Plan'!A:A,'JZ_BRAND SPLITS'!C69,'5 Year Supply Plan'!AZ:AZ)</f>
        <v>5347</v>
      </c>
      <c r="CQ69" s="35">
        <f t="shared" si="106"/>
        <v>634.943575913362</v>
      </c>
      <c r="CR69" s="35">
        <f>SUMIF('5 Year Supply Plan'!A:A,'JZ_BRAND SPLITS'!C69,'5 Year Supply Plan'!BA:BA)</f>
        <v>5395</v>
      </c>
      <c r="CS69" s="35">
        <f t="shared" si="107"/>
        <v>640.64346213813121</v>
      </c>
      <c r="CT69" s="35">
        <f>SUMIF('5 Year Supply Plan'!A:A,'JZ_BRAND SPLITS'!C69,'5 Year Supply Plan'!BB:BB)</f>
        <v>4949</v>
      </c>
      <c r="CU69" s="35">
        <f t="shared" si="108"/>
        <v>587.68201929964994</v>
      </c>
      <c r="CV69" s="35">
        <f>SUMIF('5 Year Supply Plan'!A:A,'JZ_BRAND SPLITS'!C69,'5 Year Supply Plan'!BC:BC)</f>
        <v>5639</v>
      </c>
      <c r="CW69" s="35">
        <f t="shared" si="109"/>
        <v>669.61788378070844</v>
      </c>
      <c r="CX69" s="35">
        <f>SUMIF('5 Year Supply Plan'!A:A,'JZ_BRAND SPLITS'!C69,'5 Year Supply Plan'!BD:BD)</f>
        <v>5673</v>
      </c>
      <c r="CY69" s="35">
        <f t="shared" si="110"/>
        <v>673.65530318992001</v>
      </c>
      <c r="CZ69" s="35">
        <f>SUMIF('5 Year Supply Plan'!A:A,'JZ_BRAND SPLITS'!C69,'5 Year Supply Plan'!BE:BE)</f>
        <v>5039</v>
      </c>
      <c r="DA69" s="35">
        <f t="shared" si="111"/>
        <v>598.36930597109233</v>
      </c>
      <c r="DB69" s="35">
        <f>SUMIF('5 Year Supply Plan'!A:A,'JZ_BRAND SPLITS'!C69,'5 Year Supply Plan'!BF:BF)</f>
        <v>5629</v>
      </c>
      <c r="DC69" s="35">
        <f t="shared" si="112"/>
        <v>668.43040748388148</v>
      </c>
      <c r="DD69" s="35">
        <f>SUMIF('5 Year Supply Plan'!A:A,'JZ_BRAND SPLITS'!C69,'5 Year Supply Plan'!BG:BG)</f>
        <v>5331</v>
      </c>
      <c r="DE69" s="35">
        <f t="shared" si="113"/>
        <v>633.04361383843889</v>
      </c>
      <c r="DF69" s="35">
        <f>SUMIF('5 Year Supply Plan'!A:A,'JZ_BRAND SPLITS'!C69,'5 Year Supply Plan'!BH:BH)</f>
        <v>5454</v>
      </c>
      <c r="DG69" s="35">
        <f t="shared" si="114"/>
        <v>647.64957228941012</v>
      </c>
      <c r="DH69" s="35">
        <f>SUMIF('5 Year Supply Plan'!A:A,'JZ_BRAND SPLITS'!C69,'5 Year Supply Plan'!BI:BI)</f>
        <v>5140</v>
      </c>
      <c r="DI69" s="35">
        <f t="shared" si="115"/>
        <v>610.36281656904441</v>
      </c>
      <c r="DJ69" s="35">
        <f>SUMIF('5 Year Supply Plan'!A:A,'JZ_BRAND SPLITS'!C69,'5 Year Supply Plan'!BJ:BJ)</f>
        <v>4862</v>
      </c>
      <c r="DK69" s="35">
        <f t="shared" si="116"/>
        <v>577.35097551725562</v>
      </c>
      <c r="DL69" s="35">
        <f>SUMIF('5 Year Supply Plan'!A:A,'JZ_BRAND SPLITS'!C69,'5 Year Supply Plan'!BK:BK)</f>
        <v>4882</v>
      </c>
      <c r="DM69" s="35">
        <f t="shared" si="117"/>
        <v>579.72592811090954</v>
      </c>
      <c r="DN69" s="42">
        <f>SUMIF('5 Year Supply Plan'!A:A,'JZ_BRAND SPLITS'!C69,'5 Year Supply Plan'!BL:BL)</f>
        <v>5081</v>
      </c>
      <c r="DO69" s="35">
        <f t="shared" si="118"/>
        <v>603.35670641776551</v>
      </c>
      <c r="DP69" s="35">
        <f>SUMIF('5 Year Supply Plan'!A:A,'JZ_BRAND SPLITS'!C69,'5 Year Supply Plan'!BM:BM)</f>
        <v>5251.25</v>
      </c>
      <c r="DQ69" s="35">
        <f t="shared" si="119"/>
        <v>623.57349037124402</v>
      </c>
      <c r="DR69" s="35">
        <f>SUMIF('5 Year Supply Plan'!A:A,'JZ_BRAND SPLITS'!C69,'5 Year Supply Plan'!BN:BN)</f>
        <v>5251.25</v>
      </c>
      <c r="DS69" s="35">
        <f t="shared" si="120"/>
        <v>623.57349037124402</v>
      </c>
      <c r="DT69" s="39">
        <f t="shared" si="121"/>
        <v>34879.74729682094</v>
      </c>
      <c r="DU69" s="36">
        <f>SUMIF('5 Year Supply Plan'!A:A,'JZ_BRAND SPLITS'!C69,'5 Year Supply Plan'!BO:BO)</f>
        <v>293730.050781</v>
      </c>
    </row>
    <row r="70" spans="1:125" x14ac:dyDescent="0.25">
      <c r="A70" s="40" t="s">
        <v>290</v>
      </c>
      <c r="B70" s="40" t="s">
        <v>97</v>
      </c>
      <c r="C70" s="40" t="s">
        <v>97</v>
      </c>
      <c r="D70" s="40" t="str">
        <f t="shared" si="61"/>
        <v>T01BSMART</v>
      </c>
      <c r="E70" s="41">
        <v>0.11284817327546243</v>
      </c>
      <c r="F70" s="35">
        <f>SUMIF('5 Year Supply Plan'!A:A,'JZ_BRAND SPLITS'!C70,'5 Year Supply Plan'!H:H)</f>
        <v>6467.5507809999999</v>
      </c>
      <c r="G70" s="35">
        <f t="shared" si="62"/>
        <v>729.85129120214037</v>
      </c>
      <c r="H70" s="35">
        <f>SUMIF('5 Year Supply Plan'!A:A,'JZ_BRAND SPLITS'!C70,'5 Year Supply Plan'!I:I)</f>
        <v>8160</v>
      </c>
      <c r="I70" s="35">
        <f t="shared" si="63"/>
        <v>920.84109392777339</v>
      </c>
      <c r="J70" s="35">
        <f>SUMIF('5 Year Supply Plan'!A:A,'JZ_BRAND SPLITS'!C70,'5 Year Supply Plan'!J:J)</f>
        <v>6800</v>
      </c>
      <c r="K70" s="35">
        <f t="shared" si="64"/>
        <v>767.36757827314455</v>
      </c>
      <c r="L70" s="35">
        <f>SUMIF('5 Year Supply Plan'!A:A,'JZ_BRAND SPLITS'!C70,'5 Year Supply Plan'!K:K)</f>
        <v>3872</v>
      </c>
      <c r="M70" s="35">
        <f t="shared" si="65"/>
        <v>436.94812692259052</v>
      </c>
      <c r="N70" s="35">
        <f>SUMIF('5 Year Supply Plan'!A:A,'JZ_BRAND SPLITS'!C70,'5 Year Supply Plan'!L:L)</f>
        <v>1460</v>
      </c>
      <c r="O70" s="35">
        <f t="shared" si="66"/>
        <v>164.75833298217515</v>
      </c>
      <c r="P70" s="35">
        <f>SUMIF('5 Year Supply Plan'!A:A,'JZ_BRAND SPLITS'!C70,'5 Year Supply Plan'!M:M)</f>
        <v>3655</v>
      </c>
      <c r="Q70" s="35">
        <f t="shared" si="67"/>
        <v>412.46007332181517</v>
      </c>
      <c r="R70" s="35">
        <f>SUMIF('5 Year Supply Plan'!A:A,'JZ_BRAND SPLITS'!C70,'5 Year Supply Plan'!N:N)</f>
        <v>3840</v>
      </c>
      <c r="S70" s="35">
        <f t="shared" si="68"/>
        <v>433.3369853777757</v>
      </c>
      <c r="T70" s="35">
        <f>SUMIF('5 Year Supply Plan'!A:A,'JZ_BRAND SPLITS'!C70,'5 Year Supply Plan'!O:O)</f>
        <v>3855</v>
      </c>
      <c r="U70" s="35">
        <f t="shared" si="69"/>
        <v>435.02970797690767</v>
      </c>
      <c r="V70" s="35">
        <f>SUMIF('5 Year Supply Plan'!A:A,'JZ_BRAND SPLITS'!C70,'5 Year Supply Plan'!P:P)</f>
        <v>4119</v>
      </c>
      <c r="W70" s="35">
        <f t="shared" si="70"/>
        <v>464.82162572162974</v>
      </c>
      <c r="X70" s="35">
        <f>SUMIF('5 Year Supply Plan'!A:A,'JZ_BRAND SPLITS'!C70,'5 Year Supply Plan'!Q:Q)</f>
        <v>4826</v>
      </c>
      <c r="Y70" s="35">
        <f t="shared" si="71"/>
        <v>544.60528422738162</v>
      </c>
      <c r="Z70" s="35">
        <f>SUMIF('5 Year Supply Plan'!A:A,'JZ_BRAND SPLITS'!C70,'5 Year Supply Plan'!R:R)</f>
        <v>4424</v>
      </c>
      <c r="AA70" s="35">
        <f t="shared" si="72"/>
        <v>499.2403185706458</v>
      </c>
      <c r="AB70" s="35">
        <f>SUMIF('5 Year Supply Plan'!A:A,'JZ_BRAND SPLITS'!C70,'5 Year Supply Plan'!S:S)</f>
        <v>5046</v>
      </c>
      <c r="AC70" s="35">
        <f t="shared" si="73"/>
        <v>569.43188234798345</v>
      </c>
      <c r="AD70" s="35">
        <f>SUMIF('5 Year Supply Plan'!A:A,'JZ_BRAND SPLITS'!C70,'5 Year Supply Plan'!T:T)</f>
        <v>5080</v>
      </c>
      <c r="AE70" s="35">
        <f t="shared" si="74"/>
        <v>573.26872023934914</v>
      </c>
      <c r="AF70" s="35">
        <f>SUMIF('5 Year Supply Plan'!A:A,'JZ_BRAND SPLITS'!C70,'5 Year Supply Plan'!U:U)</f>
        <v>4512</v>
      </c>
      <c r="AG70" s="35">
        <f t="shared" si="75"/>
        <v>509.17095781888645</v>
      </c>
      <c r="AH70" s="35">
        <f>SUMIF('5 Year Supply Plan'!A:A,'JZ_BRAND SPLITS'!C70,'5 Year Supply Plan'!V:V)</f>
        <v>5040</v>
      </c>
      <c r="AI70" s="35">
        <f t="shared" si="76"/>
        <v>568.75479330833059</v>
      </c>
      <c r="AJ70" s="35">
        <f>SUMIF('5 Year Supply Plan'!A:A,'JZ_BRAND SPLITS'!C70,'5 Year Supply Plan'!W:W)</f>
        <v>4784</v>
      </c>
      <c r="AK70" s="35">
        <f t="shared" si="77"/>
        <v>539.8656609498122</v>
      </c>
      <c r="AL70" s="35">
        <f>SUMIF('5 Year Supply Plan'!A:A,'JZ_BRAND SPLITS'!C70,'5 Year Supply Plan'!X:X)</f>
        <v>4892</v>
      </c>
      <c r="AM70" s="35">
        <f t="shared" si="78"/>
        <v>552.05326366356223</v>
      </c>
      <c r="AN70" s="35">
        <f>SUMIF('5 Year Supply Plan'!A:A,'JZ_BRAND SPLITS'!C70,'5 Year Supply Plan'!Y:Y)</f>
        <v>4587</v>
      </c>
      <c r="AO70" s="35">
        <f t="shared" si="79"/>
        <v>517.63457081454612</v>
      </c>
      <c r="AP70" s="35">
        <f>SUMIF('5 Year Supply Plan'!A:A,'JZ_BRAND SPLITS'!C70,'5 Year Supply Plan'!Z:Z)</f>
        <v>4466</v>
      </c>
      <c r="AQ70" s="35">
        <f t="shared" si="80"/>
        <v>503.97994184821522</v>
      </c>
      <c r="AR70" s="35">
        <f>SUMIF('5 Year Supply Plan'!A:A,'JZ_BRAND SPLITS'!C70,'5 Year Supply Plan'!AA:AA)</f>
        <v>4695</v>
      </c>
      <c r="AS70" s="35">
        <f t="shared" si="81"/>
        <v>529.82217352829605</v>
      </c>
      <c r="AT70" s="35">
        <f>SUMIF('5 Year Supply Plan'!A:A,'JZ_BRAND SPLITS'!C70,'5 Year Supply Plan'!AB:AB)</f>
        <v>4966</v>
      </c>
      <c r="AU70" s="35">
        <f t="shared" si="82"/>
        <v>560.40402848594636</v>
      </c>
      <c r="AV70" s="35">
        <f>SUMIF('5 Year Supply Plan'!A:A,'JZ_BRAND SPLITS'!C70,'5 Year Supply Plan'!AC:AC)</f>
        <v>5013</v>
      </c>
      <c r="AW70" s="35">
        <f t="shared" si="83"/>
        <v>565.70789262989319</v>
      </c>
      <c r="AX70" s="35">
        <f>SUMIF('5 Year Supply Plan'!A:A,'JZ_BRAND SPLITS'!C70,'5 Year Supply Plan'!AD:AD)</f>
        <v>4596</v>
      </c>
      <c r="AY70" s="35">
        <f t="shared" si="84"/>
        <v>518.65020437402529</v>
      </c>
      <c r="AZ70" s="35">
        <f>SUMIF('5 Year Supply Plan'!A:A,'JZ_BRAND SPLITS'!C70,'5 Year Supply Plan'!AE:AE)</f>
        <v>5238</v>
      </c>
      <c r="BA70" s="35">
        <f t="shared" si="85"/>
        <v>591.09873161687221</v>
      </c>
      <c r="BB70" s="35">
        <f>SUMIF('5 Year Supply Plan'!A:A,'JZ_BRAND SPLITS'!C70,'5 Year Supply Plan'!AF:AF)</f>
        <v>5273</v>
      </c>
      <c r="BC70" s="35">
        <f t="shared" si="86"/>
        <v>595.04841768151334</v>
      </c>
      <c r="BD70" s="35">
        <f>SUMIF('5 Year Supply Plan'!A:A,'JZ_BRAND SPLITS'!C70,'5 Year Supply Plan'!AG:AG)</f>
        <v>4682</v>
      </c>
      <c r="BE70" s="35">
        <f t="shared" si="87"/>
        <v>528.35514727571513</v>
      </c>
      <c r="BF70" s="35">
        <f>SUMIF('5 Year Supply Plan'!A:A,'JZ_BRAND SPLITS'!C70,'5 Year Supply Plan'!AH:AH)</f>
        <v>5232</v>
      </c>
      <c r="BG70" s="35">
        <f t="shared" si="88"/>
        <v>590.42164257721947</v>
      </c>
      <c r="BH70" s="35">
        <f>SUMIF('5 Year Supply Plan'!A:A,'JZ_BRAND SPLITS'!C70,'5 Year Supply Plan'!AI:AI)</f>
        <v>4960</v>
      </c>
      <c r="BI70" s="35">
        <f t="shared" si="89"/>
        <v>559.72693944629361</v>
      </c>
      <c r="BJ70" s="35">
        <f>SUMIF('5 Year Supply Plan'!A:A,'JZ_BRAND SPLITS'!C70,'5 Year Supply Plan'!AJ:AJ)</f>
        <v>5071</v>
      </c>
      <c r="BK70" s="35">
        <f t="shared" si="90"/>
        <v>572.25308667986997</v>
      </c>
      <c r="BL70" s="35">
        <f>SUMIF('5 Year Supply Plan'!A:A,'JZ_BRAND SPLITS'!C70,'5 Year Supply Plan'!AK:AK)</f>
        <v>4763</v>
      </c>
      <c r="BM70" s="35">
        <f t="shared" si="91"/>
        <v>537.49584931102754</v>
      </c>
      <c r="BN70" s="35">
        <f>SUMIF('5 Year Supply Plan'!A:A,'JZ_BRAND SPLITS'!C70,'5 Year Supply Plan'!AL:AL)</f>
        <v>4610</v>
      </c>
      <c r="BO70" s="35">
        <f t="shared" si="92"/>
        <v>520.23007879988177</v>
      </c>
      <c r="BP70" s="35">
        <f>SUMIF('5 Year Supply Plan'!A:A,'JZ_BRAND SPLITS'!C70,'5 Year Supply Plan'!AM:AM)</f>
        <v>4802</v>
      </c>
      <c r="BQ70" s="35">
        <f t="shared" si="93"/>
        <v>541.89692806877053</v>
      </c>
      <c r="BR70" s="35">
        <f>SUMIF('5 Year Supply Plan'!A:A,'JZ_BRAND SPLITS'!C70,'5 Year Supply Plan'!AN:AN)</f>
        <v>5084</v>
      </c>
      <c r="BS70" s="35">
        <f t="shared" si="94"/>
        <v>573.720112932451</v>
      </c>
      <c r="BT70" s="35">
        <f>SUMIF('5 Year Supply Plan'!A:A,'JZ_BRAND SPLITS'!C70,'5 Year Supply Plan'!AO:AO)</f>
        <v>5150</v>
      </c>
      <c r="BU70" s="35">
        <f t="shared" si="95"/>
        <v>581.16809236863151</v>
      </c>
      <c r="BV70" s="35">
        <f>SUMIF('5 Year Supply Plan'!A:A,'JZ_BRAND SPLITS'!C70,'5 Year Supply Plan'!AP:AP)</f>
        <v>4725</v>
      </c>
      <c r="BW70" s="35">
        <f t="shared" si="96"/>
        <v>533.20761872655999</v>
      </c>
      <c r="BX70" s="35">
        <f>SUMIF('5 Year Supply Plan'!A:A,'JZ_BRAND SPLITS'!C70,'5 Year Supply Plan'!AQ:AQ)</f>
        <v>5386</v>
      </c>
      <c r="BY70" s="35">
        <f t="shared" si="97"/>
        <v>607.80026126164069</v>
      </c>
      <c r="BZ70" s="35">
        <f>SUMIF('5 Year Supply Plan'!A:A,'JZ_BRAND SPLITS'!C70,'5 Year Supply Plan'!AR:AR)</f>
        <v>5421</v>
      </c>
      <c r="CA70" s="35">
        <f t="shared" si="98"/>
        <v>611.74994732628181</v>
      </c>
      <c r="CB70" s="35">
        <f>SUMIF('5 Year Supply Plan'!A:A,'JZ_BRAND SPLITS'!C70,'5 Year Supply Plan'!AS:AS)</f>
        <v>4814</v>
      </c>
      <c r="CC70" s="35">
        <f t="shared" si="99"/>
        <v>543.25110614807613</v>
      </c>
      <c r="CD70" s="35">
        <f>SUMIF('5 Year Supply Plan'!A:A,'JZ_BRAND SPLITS'!C70,'5 Year Supply Plan'!AT:AT)</f>
        <v>5380</v>
      </c>
      <c r="CE70" s="35">
        <f t="shared" si="100"/>
        <v>607.12317222198783</v>
      </c>
      <c r="CF70" s="35">
        <f>SUMIF('5 Year Supply Plan'!A:A,'JZ_BRAND SPLITS'!C70,'5 Year Supply Plan'!AU:AU)</f>
        <v>5096</v>
      </c>
      <c r="CG70" s="35">
        <f t="shared" si="101"/>
        <v>575.07429101175649</v>
      </c>
      <c r="CH70" s="35">
        <f>SUMIF('5 Year Supply Plan'!A:A,'JZ_BRAND SPLITS'!C70,'5 Year Supply Plan'!AV:AV)</f>
        <v>5216</v>
      </c>
      <c r="CI70" s="35">
        <f t="shared" si="102"/>
        <v>588.61607180481201</v>
      </c>
      <c r="CJ70" s="35">
        <f>SUMIF('5 Year Supply Plan'!A:A,'JZ_BRAND SPLITS'!C70,'5 Year Supply Plan'!AW:AW)</f>
        <v>4912</v>
      </c>
      <c r="CK70" s="35">
        <f t="shared" si="103"/>
        <v>554.31022712907145</v>
      </c>
      <c r="CL70" s="35">
        <f>SUMIF('5 Year Supply Plan'!A:A,'JZ_BRAND SPLITS'!C70,'5 Year Supply Plan'!AX:AX)</f>
        <v>4792</v>
      </c>
      <c r="CM70" s="35">
        <f t="shared" si="104"/>
        <v>540.76844633601593</v>
      </c>
      <c r="CN70" s="35">
        <f>SUMIF('5 Year Supply Plan'!A:A,'JZ_BRAND SPLITS'!C70,'5 Year Supply Plan'!AY:AY)</f>
        <v>5044</v>
      </c>
      <c r="CO70" s="35">
        <f t="shared" si="105"/>
        <v>569.20618600143246</v>
      </c>
      <c r="CP70" s="35">
        <f>SUMIF('5 Year Supply Plan'!A:A,'JZ_BRAND SPLITS'!C70,'5 Year Supply Plan'!AZ:AZ)</f>
        <v>5347</v>
      </c>
      <c r="CQ70" s="35">
        <f t="shared" si="106"/>
        <v>603.39918250389758</v>
      </c>
      <c r="CR70" s="35">
        <f>SUMIF('5 Year Supply Plan'!A:A,'JZ_BRAND SPLITS'!C70,'5 Year Supply Plan'!BA:BA)</f>
        <v>5395</v>
      </c>
      <c r="CS70" s="35">
        <f t="shared" si="107"/>
        <v>608.81589482111974</v>
      </c>
      <c r="CT70" s="35">
        <f>SUMIF('5 Year Supply Plan'!A:A,'JZ_BRAND SPLITS'!C70,'5 Year Supply Plan'!BB:BB)</f>
        <v>4949</v>
      </c>
      <c r="CU70" s="35">
        <f t="shared" si="108"/>
        <v>558.48560954026357</v>
      </c>
      <c r="CV70" s="35">
        <f>SUMIF('5 Year Supply Plan'!A:A,'JZ_BRAND SPLITS'!C70,'5 Year Supply Plan'!BC:BC)</f>
        <v>5639</v>
      </c>
      <c r="CW70" s="35">
        <f t="shared" si="109"/>
        <v>636.35084910033265</v>
      </c>
      <c r="CX70" s="35">
        <f>SUMIF('5 Year Supply Plan'!A:A,'JZ_BRAND SPLITS'!C70,'5 Year Supply Plan'!BD:BD)</f>
        <v>5673</v>
      </c>
      <c r="CY70" s="35">
        <f t="shared" si="110"/>
        <v>640.18768699169834</v>
      </c>
      <c r="CZ70" s="35">
        <f>SUMIF('5 Year Supply Plan'!A:A,'JZ_BRAND SPLITS'!C70,'5 Year Supply Plan'!BE:BE)</f>
        <v>5039</v>
      </c>
      <c r="DA70" s="35">
        <f t="shared" si="111"/>
        <v>568.64194513505515</v>
      </c>
      <c r="DB70" s="35">
        <f>SUMIF('5 Year Supply Plan'!A:A,'JZ_BRAND SPLITS'!C70,'5 Year Supply Plan'!BF:BF)</f>
        <v>5629</v>
      </c>
      <c r="DC70" s="35">
        <f t="shared" si="112"/>
        <v>635.22236736757804</v>
      </c>
      <c r="DD70" s="35">
        <f>SUMIF('5 Year Supply Plan'!A:A,'JZ_BRAND SPLITS'!C70,'5 Year Supply Plan'!BG:BG)</f>
        <v>5331</v>
      </c>
      <c r="DE70" s="35">
        <f t="shared" si="113"/>
        <v>601.59361173149023</v>
      </c>
      <c r="DF70" s="35">
        <f>SUMIF('5 Year Supply Plan'!A:A,'JZ_BRAND SPLITS'!C70,'5 Year Supply Plan'!BH:BH)</f>
        <v>5454</v>
      </c>
      <c r="DG70" s="35">
        <f t="shared" si="114"/>
        <v>615.47393704437206</v>
      </c>
      <c r="DH70" s="35">
        <f>SUMIF('5 Year Supply Plan'!A:A,'JZ_BRAND SPLITS'!C70,'5 Year Supply Plan'!BI:BI)</f>
        <v>5140</v>
      </c>
      <c r="DI70" s="35">
        <f t="shared" si="115"/>
        <v>580.0396106358769</v>
      </c>
      <c r="DJ70" s="35">
        <f>SUMIF('5 Year Supply Plan'!A:A,'JZ_BRAND SPLITS'!C70,'5 Year Supply Plan'!BJ:BJ)</f>
        <v>4862</v>
      </c>
      <c r="DK70" s="35">
        <f t="shared" si="116"/>
        <v>548.6678184652983</v>
      </c>
      <c r="DL70" s="35">
        <f>SUMIF('5 Year Supply Plan'!A:A,'JZ_BRAND SPLITS'!C70,'5 Year Supply Plan'!BK:BK)</f>
        <v>4882</v>
      </c>
      <c r="DM70" s="35">
        <f t="shared" si="117"/>
        <v>550.92478193080751</v>
      </c>
      <c r="DN70" s="42">
        <f>SUMIF('5 Year Supply Plan'!A:A,'JZ_BRAND SPLITS'!C70,'5 Year Supply Plan'!BL:BL)</f>
        <v>5081</v>
      </c>
      <c r="DO70" s="35">
        <f t="shared" si="118"/>
        <v>573.38156841262457</v>
      </c>
      <c r="DP70" s="35">
        <f>SUMIF('5 Year Supply Plan'!A:A,'JZ_BRAND SPLITS'!C70,'5 Year Supply Plan'!BM:BM)</f>
        <v>5251.25</v>
      </c>
      <c r="DQ70" s="35">
        <f t="shared" si="119"/>
        <v>592.59396991277208</v>
      </c>
      <c r="DR70" s="35">
        <f>SUMIF('5 Year Supply Plan'!A:A,'JZ_BRAND SPLITS'!C70,'5 Year Supply Plan'!BN:BN)</f>
        <v>5251.25</v>
      </c>
      <c r="DS70" s="35">
        <f t="shared" si="120"/>
        <v>592.59396991277208</v>
      </c>
      <c r="DT70" s="39">
        <f t="shared" si="121"/>
        <v>33146.89966674467</v>
      </c>
      <c r="DU70" s="36">
        <f>SUMIF('5 Year Supply Plan'!A:A,'JZ_BRAND SPLITS'!C70,'5 Year Supply Plan'!BO:BO)</f>
        <v>293730.050781</v>
      </c>
    </row>
    <row r="71" spans="1:125" x14ac:dyDescent="0.25">
      <c r="A71" s="40" t="s">
        <v>291</v>
      </c>
      <c r="B71" s="40" t="s">
        <v>97</v>
      </c>
      <c r="C71" s="40" t="s">
        <v>97</v>
      </c>
      <c r="D71" s="40" t="str">
        <f t="shared" si="61"/>
        <v>T01CSMART</v>
      </c>
      <c r="E71" s="41">
        <v>0.76840419704184371</v>
      </c>
      <c r="F71" s="35">
        <f>SUMIF('5 Year Supply Plan'!A:A,'JZ_BRAND SPLITS'!C71,'5 Year Supply Plan'!H:H)</f>
        <v>6467.5507809999999</v>
      </c>
      <c r="G71" s="35">
        <f t="shared" si="62"/>
        <v>4969.6931647016545</v>
      </c>
      <c r="H71" s="35">
        <f>SUMIF('5 Year Supply Plan'!A:A,'JZ_BRAND SPLITS'!C71,'5 Year Supply Plan'!I:I)</f>
        <v>8160</v>
      </c>
      <c r="I71" s="35">
        <f t="shared" si="63"/>
        <v>6270.178247861445</v>
      </c>
      <c r="J71" s="35">
        <f>SUMIF('5 Year Supply Plan'!A:A,'JZ_BRAND SPLITS'!C71,'5 Year Supply Plan'!J:J)</f>
        <v>6800</v>
      </c>
      <c r="K71" s="35">
        <f t="shared" si="64"/>
        <v>5225.1485398845371</v>
      </c>
      <c r="L71" s="35">
        <f>SUMIF('5 Year Supply Plan'!A:A,'JZ_BRAND SPLITS'!C71,'5 Year Supply Plan'!K:K)</f>
        <v>3872</v>
      </c>
      <c r="M71" s="35">
        <f t="shared" si="65"/>
        <v>2975.2610509460187</v>
      </c>
      <c r="N71" s="35">
        <f>SUMIF('5 Year Supply Plan'!A:A,'JZ_BRAND SPLITS'!C71,'5 Year Supply Plan'!L:L)</f>
        <v>1460</v>
      </c>
      <c r="O71" s="35">
        <f t="shared" si="66"/>
        <v>1121.8701276810918</v>
      </c>
      <c r="P71" s="35">
        <f>SUMIF('5 Year Supply Plan'!A:A,'JZ_BRAND SPLITS'!C71,'5 Year Supply Plan'!M:M)</f>
        <v>3655</v>
      </c>
      <c r="Q71" s="35">
        <f t="shared" si="67"/>
        <v>2808.5173401879388</v>
      </c>
      <c r="R71" s="35">
        <f>SUMIF('5 Year Supply Plan'!A:A,'JZ_BRAND SPLITS'!C71,'5 Year Supply Plan'!N:N)</f>
        <v>3840</v>
      </c>
      <c r="S71" s="35">
        <f t="shared" si="68"/>
        <v>2950.6721166406796</v>
      </c>
      <c r="T71" s="35">
        <f>SUMIF('5 Year Supply Plan'!A:A,'JZ_BRAND SPLITS'!C71,'5 Year Supply Plan'!O:O)</f>
        <v>3855</v>
      </c>
      <c r="U71" s="35">
        <f t="shared" si="69"/>
        <v>2962.1981795963075</v>
      </c>
      <c r="V71" s="35">
        <f>SUMIF('5 Year Supply Plan'!A:A,'JZ_BRAND SPLITS'!C71,'5 Year Supply Plan'!P:P)</f>
        <v>4119</v>
      </c>
      <c r="W71" s="35">
        <f t="shared" si="70"/>
        <v>3165.0568876153543</v>
      </c>
      <c r="X71" s="35">
        <f>SUMIF('5 Year Supply Plan'!A:A,'JZ_BRAND SPLITS'!C71,'5 Year Supply Plan'!Q:Q)</f>
        <v>4826</v>
      </c>
      <c r="Y71" s="35">
        <f t="shared" si="71"/>
        <v>3708.3186549239376</v>
      </c>
      <c r="Z71" s="35">
        <f>SUMIF('5 Year Supply Plan'!A:A,'JZ_BRAND SPLITS'!C71,'5 Year Supply Plan'!R:R)</f>
        <v>4424</v>
      </c>
      <c r="AA71" s="35">
        <f t="shared" si="72"/>
        <v>3399.4201677131164</v>
      </c>
      <c r="AB71" s="35">
        <f>SUMIF('5 Year Supply Plan'!A:A,'JZ_BRAND SPLITS'!C71,'5 Year Supply Plan'!S:S)</f>
        <v>5046</v>
      </c>
      <c r="AC71" s="35">
        <f t="shared" si="73"/>
        <v>3877.3675782731434</v>
      </c>
      <c r="AD71" s="35">
        <f>SUMIF('5 Year Supply Plan'!A:A,'JZ_BRAND SPLITS'!C71,'5 Year Supply Plan'!T:T)</f>
        <v>5080</v>
      </c>
      <c r="AE71" s="35">
        <f t="shared" si="74"/>
        <v>3903.4933209725659</v>
      </c>
      <c r="AF71" s="35">
        <f>SUMIF('5 Year Supply Plan'!A:A,'JZ_BRAND SPLITS'!C71,'5 Year Supply Plan'!U:U)</f>
        <v>4512</v>
      </c>
      <c r="AG71" s="35">
        <f t="shared" si="75"/>
        <v>3467.039737052799</v>
      </c>
      <c r="AH71" s="35">
        <f>SUMIF('5 Year Supply Plan'!A:A,'JZ_BRAND SPLITS'!C71,'5 Year Supply Plan'!V:V)</f>
        <v>5040</v>
      </c>
      <c r="AI71" s="35">
        <f t="shared" si="76"/>
        <v>3872.7571530908922</v>
      </c>
      <c r="AJ71" s="35">
        <f>SUMIF('5 Year Supply Plan'!A:A,'JZ_BRAND SPLITS'!C71,'5 Year Supply Plan'!W:W)</f>
        <v>4784</v>
      </c>
      <c r="AK71" s="35">
        <f t="shared" si="77"/>
        <v>3676.0456786481805</v>
      </c>
      <c r="AL71" s="35">
        <f>SUMIF('5 Year Supply Plan'!A:A,'JZ_BRAND SPLITS'!C71,'5 Year Supply Plan'!X:X)</f>
        <v>4892</v>
      </c>
      <c r="AM71" s="35">
        <f t="shared" si="78"/>
        <v>3759.0333319286992</v>
      </c>
      <c r="AN71" s="35">
        <f>SUMIF('5 Year Supply Plan'!A:A,'JZ_BRAND SPLITS'!C71,'5 Year Supply Plan'!Y:Y)</f>
        <v>4587</v>
      </c>
      <c r="AO71" s="35">
        <f t="shared" si="79"/>
        <v>3524.6700518309372</v>
      </c>
      <c r="AP71" s="35">
        <f>SUMIF('5 Year Supply Plan'!A:A,'JZ_BRAND SPLITS'!C71,'5 Year Supply Plan'!Z:Z)</f>
        <v>4466</v>
      </c>
      <c r="AQ71" s="35">
        <f t="shared" si="80"/>
        <v>3431.693143988874</v>
      </c>
      <c r="AR71" s="35">
        <f>SUMIF('5 Year Supply Plan'!A:A,'JZ_BRAND SPLITS'!C71,'5 Year Supply Plan'!AA:AA)</f>
        <v>4695</v>
      </c>
      <c r="AS71" s="35">
        <f t="shared" si="81"/>
        <v>3607.6577051114564</v>
      </c>
      <c r="AT71" s="35">
        <f>SUMIF('5 Year Supply Plan'!A:A,'JZ_BRAND SPLITS'!C71,'5 Year Supply Plan'!AB:AB)</f>
        <v>4966</v>
      </c>
      <c r="AU71" s="35">
        <f t="shared" si="82"/>
        <v>3815.8952425097959</v>
      </c>
      <c r="AV71" s="35">
        <f>SUMIF('5 Year Supply Plan'!A:A,'JZ_BRAND SPLITS'!C71,'5 Year Supply Plan'!AC:AC)</f>
        <v>5013</v>
      </c>
      <c r="AW71" s="35">
        <f t="shared" si="83"/>
        <v>3852.0102397707624</v>
      </c>
      <c r="AX71" s="35">
        <f>SUMIF('5 Year Supply Plan'!A:A,'JZ_BRAND SPLITS'!C71,'5 Year Supply Plan'!AD:AD)</f>
        <v>4596</v>
      </c>
      <c r="AY71" s="35">
        <f t="shared" si="84"/>
        <v>3531.5856896043138</v>
      </c>
      <c r="AZ71" s="35">
        <f>SUMIF('5 Year Supply Plan'!A:A,'JZ_BRAND SPLITS'!C71,'5 Year Supply Plan'!AE:AE)</f>
        <v>5238</v>
      </c>
      <c r="BA71" s="35">
        <f t="shared" si="85"/>
        <v>4024.9011841051774</v>
      </c>
      <c r="BB71" s="35">
        <f>SUMIF('5 Year Supply Plan'!A:A,'JZ_BRAND SPLITS'!C71,'5 Year Supply Plan'!AF:AF)</f>
        <v>5273</v>
      </c>
      <c r="BC71" s="35">
        <f t="shared" si="86"/>
        <v>4051.7953310016419</v>
      </c>
      <c r="BD71" s="35">
        <f>SUMIF('5 Year Supply Plan'!A:A,'JZ_BRAND SPLITS'!C71,'5 Year Supply Plan'!AG:AG)</f>
        <v>4682</v>
      </c>
      <c r="BE71" s="35">
        <f t="shared" si="87"/>
        <v>3597.6684505499124</v>
      </c>
      <c r="BF71" s="35">
        <f>SUMIF('5 Year Supply Plan'!A:A,'JZ_BRAND SPLITS'!C71,'5 Year Supply Plan'!AH:AH)</f>
        <v>5232</v>
      </c>
      <c r="BG71" s="35">
        <f t="shared" si="88"/>
        <v>4020.2907589229262</v>
      </c>
      <c r="BH71" s="35">
        <f>SUMIF('5 Year Supply Plan'!A:A,'JZ_BRAND SPLITS'!C71,'5 Year Supply Plan'!AI:AI)</f>
        <v>4960</v>
      </c>
      <c r="BI71" s="35">
        <f t="shared" si="89"/>
        <v>3811.2848173275447</v>
      </c>
      <c r="BJ71" s="35">
        <f>SUMIF('5 Year Supply Plan'!A:A,'JZ_BRAND SPLITS'!C71,'5 Year Supply Plan'!AJ:AJ)</f>
        <v>5071</v>
      </c>
      <c r="BK71" s="35">
        <f t="shared" si="90"/>
        <v>3896.5776831991893</v>
      </c>
      <c r="BL71" s="35">
        <f>SUMIF('5 Year Supply Plan'!A:A,'JZ_BRAND SPLITS'!C71,'5 Year Supply Plan'!AK:AK)</f>
        <v>4763</v>
      </c>
      <c r="BM71" s="35">
        <f t="shared" si="91"/>
        <v>3659.9091905103014</v>
      </c>
      <c r="BN71" s="35">
        <f>SUMIF('5 Year Supply Plan'!A:A,'JZ_BRAND SPLITS'!C71,'5 Year Supply Plan'!AL:AL)</f>
        <v>4610</v>
      </c>
      <c r="BO71" s="35">
        <f t="shared" si="92"/>
        <v>3542.3433483628996</v>
      </c>
      <c r="BP71" s="35">
        <f>SUMIF('5 Year Supply Plan'!A:A,'JZ_BRAND SPLITS'!C71,'5 Year Supply Plan'!AM:AM)</f>
        <v>4802</v>
      </c>
      <c r="BQ71" s="35">
        <f t="shared" si="93"/>
        <v>3689.8769541949337</v>
      </c>
      <c r="BR71" s="35">
        <f>SUMIF('5 Year Supply Plan'!A:A,'JZ_BRAND SPLITS'!C71,'5 Year Supply Plan'!AN:AN)</f>
        <v>5084</v>
      </c>
      <c r="BS71" s="35">
        <f t="shared" si="94"/>
        <v>3906.5669377607333</v>
      </c>
      <c r="BT71" s="35">
        <f>SUMIF('5 Year Supply Plan'!A:A,'JZ_BRAND SPLITS'!C71,'5 Year Supply Plan'!AO:AO)</f>
        <v>5150</v>
      </c>
      <c r="BU71" s="35">
        <f t="shared" si="95"/>
        <v>3957.2816147654953</v>
      </c>
      <c r="BV71" s="35">
        <f>SUMIF('5 Year Supply Plan'!A:A,'JZ_BRAND SPLITS'!C71,'5 Year Supply Plan'!AP:AP)</f>
        <v>4725</v>
      </c>
      <c r="BW71" s="35">
        <f t="shared" si="96"/>
        <v>3630.7098310227116</v>
      </c>
      <c r="BX71" s="35">
        <f>SUMIF('5 Year Supply Plan'!A:A,'JZ_BRAND SPLITS'!C71,'5 Year Supply Plan'!AQ:AQ)</f>
        <v>5386</v>
      </c>
      <c r="BY71" s="35">
        <f t="shared" si="97"/>
        <v>4138.6250052673704</v>
      </c>
      <c r="BZ71" s="35">
        <f>SUMIF('5 Year Supply Plan'!A:A,'JZ_BRAND SPLITS'!C71,'5 Year Supply Plan'!AR:AR)</f>
        <v>5421</v>
      </c>
      <c r="CA71" s="35">
        <f t="shared" si="98"/>
        <v>4165.5191521638344</v>
      </c>
      <c r="CB71" s="35">
        <f>SUMIF('5 Year Supply Plan'!A:A,'JZ_BRAND SPLITS'!C71,'5 Year Supply Plan'!AS:AS)</f>
        <v>4814</v>
      </c>
      <c r="CC71" s="35">
        <f t="shared" si="99"/>
        <v>3699.0978045594356</v>
      </c>
      <c r="CD71" s="35">
        <f>SUMIF('5 Year Supply Plan'!A:A,'JZ_BRAND SPLITS'!C71,'5 Year Supply Plan'!AT:AT)</f>
        <v>5380</v>
      </c>
      <c r="CE71" s="35">
        <f t="shared" si="100"/>
        <v>4134.0145800851187</v>
      </c>
      <c r="CF71" s="35">
        <f>SUMIF('5 Year Supply Plan'!A:A,'JZ_BRAND SPLITS'!C71,'5 Year Supply Plan'!AU:AU)</f>
        <v>5096</v>
      </c>
      <c r="CG71" s="35">
        <f t="shared" si="101"/>
        <v>3915.7877881252357</v>
      </c>
      <c r="CH71" s="35">
        <f>SUMIF('5 Year Supply Plan'!A:A,'JZ_BRAND SPLITS'!C71,'5 Year Supply Plan'!AV:AV)</f>
        <v>5216</v>
      </c>
      <c r="CI71" s="35">
        <f t="shared" si="102"/>
        <v>4007.9962917702569</v>
      </c>
      <c r="CJ71" s="35">
        <f>SUMIF('5 Year Supply Plan'!A:A,'JZ_BRAND SPLITS'!C71,'5 Year Supply Plan'!AW:AW)</f>
        <v>4912</v>
      </c>
      <c r="CK71" s="35">
        <f t="shared" si="103"/>
        <v>3774.4014158695363</v>
      </c>
      <c r="CL71" s="35">
        <f>SUMIF('5 Year Supply Plan'!A:A,'JZ_BRAND SPLITS'!C71,'5 Year Supply Plan'!AX:AX)</f>
        <v>4792</v>
      </c>
      <c r="CM71" s="35">
        <f t="shared" si="104"/>
        <v>3682.1929122245151</v>
      </c>
      <c r="CN71" s="35">
        <f>SUMIF('5 Year Supply Plan'!A:A,'JZ_BRAND SPLITS'!C71,'5 Year Supply Plan'!AY:AY)</f>
        <v>5044</v>
      </c>
      <c r="CO71" s="35">
        <f t="shared" si="105"/>
        <v>3875.8307698790595</v>
      </c>
      <c r="CP71" s="35">
        <f>SUMIF('5 Year Supply Plan'!A:A,'JZ_BRAND SPLITS'!C71,'5 Year Supply Plan'!AZ:AZ)</f>
        <v>5347</v>
      </c>
      <c r="CQ71" s="35">
        <f t="shared" si="106"/>
        <v>4108.6572415827386</v>
      </c>
      <c r="CR71" s="35">
        <f>SUMIF('5 Year Supply Plan'!A:A,'JZ_BRAND SPLITS'!C71,'5 Year Supply Plan'!BA:BA)</f>
        <v>5395</v>
      </c>
      <c r="CS71" s="35">
        <f t="shared" si="107"/>
        <v>4145.5406430407465</v>
      </c>
      <c r="CT71" s="35">
        <f>SUMIF('5 Year Supply Plan'!A:A,'JZ_BRAND SPLITS'!C71,'5 Year Supply Plan'!BB:BB)</f>
        <v>4949</v>
      </c>
      <c r="CU71" s="35">
        <f t="shared" si="108"/>
        <v>3802.8323711600847</v>
      </c>
      <c r="CV71" s="35">
        <f>SUMIF('5 Year Supply Plan'!A:A,'JZ_BRAND SPLITS'!C71,'5 Year Supply Plan'!BC:BC)</f>
        <v>5639</v>
      </c>
      <c r="CW71" s="35">
        <f t="shared" si="109"/>
        <v>4333.0312671189567</v>
      </c>
      <c r="CX71" s="35">
        <f>SUMIF('5 Year Supply Plan'!A:A,'JZ_BRAND SPLITS'!C71,'5 Year Supply Plan'!BD:BD)</f>
        <v>5673</v>
      </c>
      <c r="CY71" s="35">
        <f t="shared" si="110"/>
        <v>4359.1570098183793</v>
      </c>
      <c r="CZ71" s="35">
        <f>SUMIF('5 Year Supply Plan'!A:A,'JZ_BRAND SPLITS'!C71,'5 Year Supply Plan'!BE:BE)</f>
        <v>5039</v>
      </c>
      <c r="DA71" s="35">
        <f t="shared" si="111"/>
        <v>3871.9887488938502</v>
      </c>
      <c r="DB71" s="35">
        <f>SUMIF('5 Year Supply Plan'!A:A,'JZ_BRAND SPLITS'!C71,'5 Year Supply Plan'!BF:BF)</f>
        <v>5629</v>
      </c>
      <c r="DC71" s="35">
        <f t="shared" si="112"/>
        <v>4325.3472251485382</v>
      </c>
      <c r="DD71" s="35">
        <f>SUMIF('5 Year Supply Plan'!A:A,'JZ_BRAND SPLITS'!C71,'5 Year Supply Plan'!BG:BG)</f>
        <v>5331</v>
      </c>
      <c r="DE71" s="35">
        <f t="shared" si="113"/>
        <v>4096.3627744300684</v>
      </c>
      <c r="DF71" s="35">
        <f>SUMIF('5 Year Supply Plan'!A:A,'JZ_BRAND SPLITS'!C71,'5 Year Supply Plan'!BH:BH)</f>
        <v>5454</v>
      </c>
      <c r="DG71" s="35">
        <f t="shared" si="114"/>
        <v>4190.8764906662154</v>
      </c>
      <c r="DH71" s="35">
        <f>SUMIF('5 Year Supply Plan'!A:A,'JZ_BRAND SPLITS'!C71,'5 Year Supply Plan'!BI:BI)</f>
        <v>5140</v>
      </c>
      <c r="DI71" s="35">
        <f t="shared" si="115"/>
        <v>3949.5975727950768</v>
      </c>
      <c r="DJ71" s="35">
        <f>SUMIF('5 Year Supply Plan'!A:A,'JZ_BRAND SPLITS'!C71,'5 Year Supply Plan'!BJ:BJ)</f>
        <v>4862</v>
      </c>
      <c r="DK71" s="35">
        <f t="shared" si="116"/>
        <v>3735.981206017444</v>
      </c>
      <c r="DL71" s="35">
        <f>SUMIF('5 Year Supply Plan'!A:A,'JZ_BRAND SPLITS'!C71,'5 Year Supply Plan'!BK:BK)</f>
        <v>4882</v>
      </c>
      <c r="DM71" s="35">
        <f t="shared" si="117"/>
        <v>3751.3492899582811</v>
      </c>
      <c r="DN71" s="42">
        <f>SUMIF('5 Year Supply Plan'!A:A,'JZ_BRAND SPLITS'!C71,'5 Year Supply Plan'!BL:BL)</f>
        <v>5081</v>
      </c>
      <c r="DO71" s="35">
        <f t="shared" si="118"/>
        <v>3904.2617251696079</v>
      </c>
      <c r="DP71" s="35">
        <f>SUMIF('5 Year Supply Plan'!A:A,'JZ_BRAND SPLITS'!C71,'5 Year Supply Plan'!BM:BM)</f>
        <v>5251.25</v>
      </c>
      <c r="DQ71" s="35">
        <f t="shared" si="119"/>
        <v>4035.082539715982</v>
      </c>
      <c r="DR71" s="35">
        <f>SUMIF('5 Year Supply Plan'!A:A,'JZ_BRAND SPLITS'!C71,'5 Year Supply Plan'!BN:BN)</f>
        <v>5251.25</v>
      </c>
      <c r="DS71" s="35">
        <f t="shared" si="120"/>
        <v>4035.082539715982</v>
      </c>
      <c r="DT71" s="39">
        <f t="shared" si="121"/>
        <v>225703.40381743424</v>
      </c>
      <c r="DU71" s="36">
        <f>SUMIF('5 Year Supply Plan'!A:A,'JZ_BRAND SPLITS'!C71,'5 Year Supply Plan'!BO:BO)</f>
        <v>293730.050781</v>
      </c>
    </row>
    <row r="72" spans="1:125" x14ac:dyDescent="0.25">
      <c r="A72" s="40" t="s">
        <v>292</v>
      </c>
      <c r="B72" s="40" t="s">
        <v>97</v>
      </c>
      <c r="C72" s="40" t="s">
        <v>96</v>
      </c>
      <c r="D72" s="40" t="str">
        <f t="shared" si="61"/>
        <v>T01DS.M.A.R.T. RADIANZ</v>
      </c>
      <c r="E72" s="41">
        <v>1</v>
      </c>
      <c r="F72" s="35">
        <f>SUMIF('5 Year Supply Plan'!A:A,'JZ_BRAND SPLITS'!C72,'5 Year Supply Plan'!H:H)</f>
        <v>588.69628899999998</v>
      </c>
      <c r="G72" s="35">
        <f t="shared" si="62"/>
        <v>588.69628899999998</v>
      </c>
      <c r="H72" s="35">
        <f>SUMIF('5 Year Supply Plan'!A:A,'JZ_BRAND SPLITS'!C72,'5 Year Supply Plan'!I:I)</f>
        <v>720</v>
      </c>
      <c r="I72" s="35">
        <f t="shared" si="63"/>
        <v>720</v>
      </c>
      <c r="J72" s="35">
        <f>SUMIF('5 Year Supply Plan'!A:A,'JZ_BRAND SPLITS'!C72,'5 Year Supply Plan'!J:J)</f>
        <v>600</v>
      </c>
      <c r="K72" s="35">
        <f t="shared" si="64"/>
        <v>600</v>
      </c>
      <c r="L72" s="35">
        <f>SUMIF('5 Year Supply Plan'!A:A,'JZ_BRAND SPLITS'!C72,'5 Year Supply Plan'!K:K)</f>
        <v>192</v>
      </c>
      <c r="M72" s="35">
        <f t="shared" si="65"/>
        <v>192</v>
      </c>
      <c r="N72" s="35">
        <f>SUMIF('5 Year Supply Plan'!A:A,'JZ_BRAND SPLITS'!C72,'5 Year Supply Plan'!L:L)</f>
        <v>153</v>
      </c>
      <c r="O72" s="35">
        <f t="shared" si="66"/>
        <v>153</v>
      </c>
      <c r="P72" s="35">
        <f>SUMIF('5 Year Supply Plan'!A:A,'JZ_BRAND SPLITS'!C72,'5 Year Supply Plan'!M:M)</f>
        <v>183</v>
      </c>
      <c r="Q72" s="35">
        <f t="shared" si="67"/>
        <v>183</v>
      </c>
      <c r="R72" s="35">
        <f>SUMIF('5 Year Supply Plan'!A:A,'JZ_BRAND SPLITS'!C72,'5 Year Supply Plan'!N:N)</f>
        <v>185</v>
      </c>
      <c r="S72" s="35">
        <f t="shared" si="68"/>
        <v>185</v>
      </c>
      <c r="T72" s="35">
        <f>SUMIF('5 Year Supply Plan'!A:A,'JZ_BRAND SPLITS'!C72,'5 Year Supply Plan'!O:O)</f>
        <v>187</v>
      </c>
      <c r="U72" s="35">
        <f t="shared" si="69"/>
        <v>187</v>
      </c>
      <c r="V72" s="35">
        <f>SUMIF('5 Year Supply Plan'!A:A,'JZ_BRAND SPLITS'!C72,'5 Year Supply Plan'!P:P)</f>
        <v>189</v>
      </c>
      <c r="W72" s="35">
        <f t="shared" si="70"/>
        <v>189</v>
      </c>
      <c r="X72" s="35">
        <f>SUMIF('5 Year Supply Plan'!A:A,'JZ_BRAND SPLITS'!C72,'5 Year Supply Plan'!Q:Q)</f>
        <v>193</v>
      </c>
      <c r="Y72" s="35">
        <f t="shared" si="71"/>
        <v>193</v>
      </c>
      <c r="Z72" s="35">
        <f>SUMIF('5 Year Supply Plan'!A:A,'JZ_BRAND SPLITS'!C72,'5 Year Supply Plan'!R:R)</f>
        <v>196</v>
      </c>
      <c r="AA72" s="35">
        <f t="shared" si="72"/>
        <v>196</v>
      </c>
      <c r="AB72" s="35">
        <f>SUMIF('5 Year Supply Plan'!A:A,'JZ_BRAND SPLITS'!C72,'5 Year Supply Plan'!S:S)</f>
        <v>312</v>
      </c>
      <c r="AC72" s="35">
        <f t="shared" si="73"/>
        <v>312</v>
      </c>
      <c r="AD72" s="35">
        <f>SUMIF('5 Year Supply Plan'!A:A,'JZ_BRAND SPLITS'!C72,'5 Year Supply Plan'!T:T)</f>
        <v>304</v>
      </c>
      <c r="AE72" s="35">
        <f t="shared" si="74"/>
        <v>304</v>
      </c>
      <c r="AF72" s="35">
        <f>SUMIF('5 Year Supply Plan'!A:A,'JZ_BRAND SPLITS'!C72,'5 Year Supply Plan'!U:U)</f>
        <v>269</v>
      </c>
      <c r="AG72" s="35">
        <f t="shared" si="75"/>
        <v>269</v>
      </c>
      <c r="AH72" s="35">
        <f>SUMIF('5 Year Supply Plan'!A:A,'JZ_BRAND SPLITS'!C72,'5 Year Supply Plan'!V:V)</f>
        <v>310</v>
      </c>
      <c r="AI72" s="35">
        <f t="shared" si="76"/>
        <v>310</v>
      </c>
      <c r="AJ72" s="35">
        <f>SUMIF('5 Year Supply Plan'!A:A,'JZ_BRAND SPLITS'!C72,'5 Year Supply Plan'!W:W)</f>
        <v>288</v>
      </c>
      <c r="AK72" s="35">
        <f t="shared" si="77"/>
        <v>288</v>
      </c>
      <c r="AL72" s="35">
        <f>SUMIF('5 Year Supply Plan'!A:A,'JZ_BRAND SPLITS'!C72,'5 Year Supply Plan'!X:X)</f>
        <v>287</v>
      </c>
      <c r="AM72" s="35">
        <f t="shared" si="78"/>
        <v>287</v>
      </c>
      <c r="AN72" s="35">
        <f>SUMIF('5 Year Supply Plan'!A:A,'JZ_BRAND SPLITS'!C72,'5 Year Supply Plan'!Y:Y)</f>
        <v>278</v>
      </c>
      <c r="AO72" s="35">
        <f t="shared" si="79"/>
        <v>278</v>
      </c>
      <c r="AP72" s="35">
        <f>SUMIF('5 Year Supply Plan'!A:A,'JZ_BRAND SPLITS'!C72,'5 Year Supply Plan'!Z:Z)</f>
        <v>273</v>
      </c>
      <c r="AQ72" s="35">
        <f t="shared" si="80"/>
        <v>273</v>
      </c>
      <c r="AR72" s="35">
        <f>SUMIF('5 Year Supply Plan'!A:A,'JZ_BRAND SPLITS'!C72,'5 Year Supply Plan'!AA:AA)</f>
        <v>280</v>
      </c>
      <c r="AS72" s="35">
        <f t="shared" si="81"/>
        <v>280</v>
      </c>
      <c r="AT72" s="35">
        <f>SUMIF('5 Year Supply Plan'!A:A,'JZ_BRAND SPLITS'!C72,'5 Year Supply Plan'!AB:AB)</f>
        <v>291</v>
      </c>
      <c r="AU72" s="35">
        <f t="shared" si="82"/>
        <v>291</v>
      </c>
      <c r="AV72" s="35">
        <f>SUMIF('5 Year Supply Plan'!A:A,'JZ_BRAND SPLITS'!C72,'5 Year Supply Plan'!AC:AC)</f>
        <v>302</v>
      </c>
      <c r="AW72" s="35">
        <f t="shared" si="83"/>
        <v>302</v>
      </c>
      <c r="AX72" s="35">
        <f>SUMIF('5 Year Supply Plan'!A:A,'JZ_BRAND SPLITS'!C72,'5 Year Supply Plan'!AD:AD)</f>
        <v>280</v>
      </c>
      <c r="AY72" s="35">
        <f t="shared" si="84"/>
        <v>280</v>
      </c>
      <c r="AZ72" s="35">
        <f>SUMIF('5 Year Supply Plan'!A:A,'JZ_BRAND SPLITS'!C72,'5 Year Supply Plan'!AE:AE)</f>
        <v>322</v>
      </c>
      <c r="BA72" s="35">
        <f t="shared" si="85"/>
        <v>322</v>
      </c>
      <c r="BB72" s="35">
        <f>SUMIF('5 Year Supply Plan'!A:A,'JZ_BRAND SPLITS'!C72,'5 Year Supply Plan'!AF:AF)</f>
        <v>314</v>
      </c>
      <c r="BC72" s="35">
        <f t="shared" si="86"/>
        <v>314</v>
      </c>
      <c r="BD72" s="35">
        <f>SUMIF('5 Year Supply Plan'!A:A,'JZ_BRAND SPLITS'!C72,'5 Year Supply Plan'!AG:AG)</f>
        <v>280</v>
      </c>
      <c r="BE72" s="35">
        <f t="shared" si="87"/>
        <v>280</v>
      </c>
      <c r="BF72" s="35">
        <f>SUMIF('5 Year Supply Plan'!A:A,'JZ_BRAND SPLITS'!C72,'5 Year Supply Plan'!AH:AH)</f>
        <v>321</v>
      </c>
      <c r="BG72" s="35">
        <f t="shared" si="88"/>
        <v>321</v>
      </c>
      <c r="BH72" s="35">
        <f>SUMIF('5 Year Supply Plan'!A:A,'JZ_BRAND SPLITS'!C72,'5 Year Supply Plan'!AI:AI)</f>
        <v>299</v>
      </c>
      <c r="BI72" s="35">
        <f t="shared" si="89"/>
        <v>299</v>
      </c>
      <c r="BJ72" s="35">
        <f>SUMIF('5 Year Supply Plan'!A:A,'JZ_BRAND SPLITS'!C72,'5 Year Supply Plan'!AJ:AJ)</f>
        <v>298</v>
      </c>
      <c r="BK72" s="35">
        <f t="shared" si="90"/>
        <v>298</v>
      </c>
      <c r="BL72" s="35">
        <f>SUMIF('5 Year Supply Plan'!A:A,'JZ_BRAND SPLITS'!C72,'5 Year Supply Plan'!AK:AK)</f>
        <v>289</v>
      </c>
      <c r="BM72" s="35">
        <f t="shared" si="91"/>
        <v>289</v>
      </c>
      <c r="BN72" s="35">
        <f>SUMIF('5 Year Supply Plan'!A:A,'JZ_BRAND SPLITS'!C72,'5 Year Supply Plan'!AL:AL)</f>
        <v>284</v>
      </c>
      <c r="BO72" s="35">
        <f t="shared" si="92"/>
        <v>284</v>
      </c>
      <c r="BP72" s="35">
        <f>SUMIF('5 Year Supply Plan'!A:A,'JZ_BRAND SPLITS'!C72,'5 Year Supply Plan'!AM:AM)</f>
        <v>288</v>
      </c>
      <c r="BQ72" s="35">
        <f t="shared" si="93"/>
        <v>288</v>
      </c>
      <c r="BR72" s="35">
        <f>SUMIF('5 Year Supply Plan'!A:A,'JZ_BRAND SPLITS'!C72,'5 Year Supply Plan'!AN:AN)</f>
        <v>302</v>
      </c>
      <c r="BS72" s="35">
        <f t="shared" si="94"/>
        <v>302</v>
      </c>
      <c r="BT72" s="35">
        <f>SUMIF('5 Year Supply Plan'!A:A,'JZ_BRAND SPLITS'!C72,'5 Year Supply Plan'!AO:AO)</f>
        <v>313</v>
      </c>
      <c r="BU72" s="35">
        <f t="shared" si="95"/>
        <v>313</v>
      </c>
      <c r="BV72" s="35">
        <f>SUMIF('5 Year Supply Plan'!A:A,'JZ_BRAND SPLITS'!C72,'5 Year Supply Plan'!AP:AP)</f>
        <v>289</v>
      </c>
      <c r="BW72" s="35">
        <f t="shared" si="96"/>
        <v>289</v>
      </c>
      <c r="BX72" s="35">
        <f>SUMIF('5 Year Supply Plan'!A:A,'JZ_BRAND SPLITS'!C72,'5 Year Supply Plan'!AQ:AQ)</f>
        <v>334</v>
      </c>
      <c r="BY72" s="35">
        <f t="shared" si="97"/>
        <v>334</v>
      </c>
      <c r="BZ72" s="35">
        <f>SUMIF('5 Year Supply Plan'!A:A,'JZ_BRAND SPLITS'!C72,'5 Year Supply Plan'!AR:AR)</f>
        <v>326</v>
      </c>
      <c r="CA72" s="35">
        <f t="shared" si="98"/>
        <v>326</v>
      </c>
      <c r="CB72" s="35">
        <f>SUMIF('5 Year Supply Plan'!A:A,'JZ_BRAND SPLITS'!C72,'5 Year Supply Plan'!AS:AS)</f>
        <v>289</v>
      </c>
      <c r="CC72" s="35">
        <f t="shared" si="99"/>
        <v>289</v>
      </c>
      <c r="CD72" s="35">
        <f>SUMIF('5 Year Supply Plan'!A:A,'JZ_BRAND SPLITS'!C72,'5 Year Supply Plan'!AT:AT)</f>
        <v>335</v>
      </c>
      <c r="CE72" s="35">
        <f t="shared" si="100"/>
        <v>335</v>
      </c>
      <c r="CF72" s="35">
        <f>SUMIF('5 Year Supply Plan'!A:A,'JZ_BRAND SPLITS'!C72,'5 Year Supply Plan'!AU:AU)</f>
        <v>308</v>
      </c>
      <c r="CG72" s="35">
        <f t="shared" si="101"/>
        <v>308</v>
      </c>
      <c r="CH72" s="35">
        <f>SUMIF('5 Year Supply Plan'!A:A,'JZ_BRAND SPLITS'!C72,'5 Year Supply Plan'!AV:AV)</f>
        <v>308</v>
      </c>
      <c r="CI72" s="35">
        <f t="shared" si="102"/>
        <v>308</v>
      </c>
      <c r="CJ72" s="35">
        <f>SUMIF('5 Year Supply Plan'!A:A,'JZ_BRAND SPLITS'!C72,'5 Year Supply Plan'!AW:AW)</f>
        <v>300</v>
      </c>
      <c r="CK72" s="35">
        <f t="shared" si="103"/>
        <v>300</v>
      </c>
      <c r="CL72" s="35">
        <f>SUMIF('5 Year Supply Plan'!A:A,'JZ_BRAND SPLITS'!C72,'5 Year Supply Plan'!AX:AX)</f>
        <v>298</v>
      </c>
      <c r="CM72" s="35">
        <f t="shared" si="104"/>
        <v>298</v>
      </c>
      <c r="CN72" s="35">
        <f>SUMIF('5 Year Supply Plan'!A:A,'JZ_BRAND SPLITS'!C72,'5 Year Supply Plan'!AY:AY)</f>
        <v>306</v>
      </c>
      <c r="CO72" s="35">
        <f t="shared" si="105"/>
        <v>306</v>
      </c>
      <c r="CP72" s="35">
        <f>SUMIF('5 Year Supply Plan'!A:A,'JZ_BRAND SPLITS'!C72,'5 Year Supply Plan'!AZ:AZ)</f>
        <v>320</v>
      </c>
      <c r="CQ72" s="35">
        <f t="shared" si="106"/>
        <v>320</v>
      </c>
      <c r="CR72" s="35">
        <f>SUMIF('5 Year Supply Plan'!A:A,'JZ_BRAND SPLITS'!C72,'5 Year Supply Plan'!BA:BA)</f>
        <v>332</v>
      </c>
      <c r="CS72" s="35">
        <f t="shared" si="107"/>
        <v>332</v>
      </c>
      <c r="CT72" s="35">
        <f>SUMIF('5 Year Supply Plan'!A:A,'JZ_BRAND SPLITS'!C72,'5 Year Supply Plan'!BB:BB)</f>
        <v>305</v>
      </c>
      <c r="CU72" s="35">
        <f t="shared" si="108"/>
        <v>305</v>
      </c>
      <c r="CV72" s="35">
        <f>SUMIF('5 Year Supply Plan'!A:A,'JZ_BRAND SPLITS'!C72,'5 Year Supply Plan'!BC:BC)</f>
        <v>355</v>
      </c>
      <c r="CW72" s="35">
        <f t="shared" si="109"/>
        <v>355</v>
      </c>
      <c r="CX72" s="35">
        <f>SUMIF('5 Year Supply Plan'!A:A,'JZ_BRAND SPLITS'!C72,'5 Year Supply Plan'!BD:BD)</f>
        <v>345</v>
      </c>
      <c r="CY72" s="35">
        <f t="shared" si="110"/>
        <v>345</v>
      </c>
      <c r="CZ72" s="35">
        <f>SUMIF('5 Year Supply Plan'!A:A,'JZ_BRAND SPLITS'!C72,'5 Year Supply Plan'!BE:BE)</f>
        <v>306</v>
      </c>
      <c r="DA72" s="35">
        <f t="shared" si="111"/>
        <v>306</v>
      </c>
      <c r="DB72" s="35">
        <f>SUMIF('5 Year Supply Plan'!A:A,'JZ_BRAND SPLITS'!C72,'5 Year Supply Plan'!BF:BF)</f>
        <v>352</v>
      </c>
      <c r="DC72" s="35">
        <f t="shared" si="112"/>
        <v>352</v>
      </c>
      <c r="DD72" s="35">
        <f>SUMIF('5 Year Supply Plan'!A:A,'JZ_BRAND SPLITS'!C72,'5 Year Supply Plan'!BG:BG)</f>
        <v>328</v>
      </c>
      <c r="DE72" s="35">
        <f t="shared" si="113"/>
        <v>328</v>
      </c>
      <c r="DF72" s="35">
        <f>SUMIF('5 Year Supply Plan'!A:A,'JZ_BRAND SPLITS'!C72,'5 Year Supply Plan'!BH:BH)</f>
        <v>326</v>
      </c>
      <c r="DG72" s="35">
        <f t="shared" si="114"/>
        <v>326</v>
      </c>
      <c r="DH72" s="35">
        <f>SUMIF('5 Year Supply Plan'!A:A,'JZ_BRAND SPLITS'!C72,'5 Year Supply Plan'!BI:BI)</f>
        <v>309</v>
      </c>
      <c r="DI72" s="35">
        <f t="shared" si="115"/>
        <v>309</v>
      </c>
      <c r="DJ72" s="35">
        <f>SUMIF('5 Year Supply Plan'!A:A,'JZ_BRAND SPLITS'!C72,'5 Year Supply Plan'!BJ:BJ)</f>
        <v>282</v>
      </c>
      <c r="DK72" s="35">
        <f t="shared" si="116"/>
        <v>282</v>
      </c>
      <c r="DL72" s="35">
        <f>SUMIF('5 Year Supply Plan'!A:A,'JZ_BRAND SPLITS'!C72,'5 Year Supply Plan'!BK:BK)</f>
        <v>261</v>
      </c>
      <c r="DM72" s="35">
        <f t="shared" si="117"/>
        <v>261</v>
      </c>
      <c r="DN72" s="42">
        <f>SUMIF('5 Year Supply Plan'!A:A,'JZ_BRAND SPLITS'!C72,'5 Year Supply Plan'!BL:BL)</f>
        <v>268</v>
      </c>
      <c r="DO72" s="35">
        <f t="shared" si="118"/>
        <v>268</v>
      </c>
      <c r="DP72" s="35">
        <f>SUMIF('5 Year Supply Plan'!A:A,'JZ_BRAND SPLITS'!C72,'5 Year Supply Plan'!BM:BM)</f>
        <v>313.625</v>
      </c>
      <c r="DQ72" s="35">
        <f t="shared" si="119"/>
        <v>313.625</v>
      </c>
      <c r="DR72" s="35">
        <f>SUMIF('5 Year Supply Plan'!A:A,'JZ_BRAND SPLITS'!C72,'5 Year Supply Plan'!BN:BN)</f>
        <v>313.625</v>
      </c>
      <c r="DS72" s="35">
        <f t="shared" si="120"/>
        <v>313.625</v>
      </c>
      <c r="DT72" s="39">
        <f t="shared" si="121"/>
        <v>17979.946289</v>
      </c>
      <c r="DU72" s="36">
        <f>SUMIF('5 Year Supply Plan'!A:A,'JZ_BRAND SPLITS'!C72,'5 Year Supply Plan'!BO:BO)</f>
        <v>17979.946289</v>
      </c>
    </row>
    <row r="73" spans="1:125" x14ac:dyDescent="0.25">
      <c r="A73" s="40" t="s">
        <v>293</v>
      </c>
      <c r="B73" s="40" t="s">
        <v>294</v>
      </c>
      <c r="C73" s="40" t="s">
        <v>90</v>
      </c>
      <c r="D73" s="40" t="str">
        <f t="shared" si="61"/>
        <v>T02APRECISE PRO</v>
      </c>
      <c r="E73" s="41">
        <v>1</v>
      </c>
      <c r="F73" s="35">
        <f>SUMIF('5 Year Supply Plan'!A:A,'JZ_BRAND SPLITS'!C73,'5 Year Supply Plan'!H:H)</f>
        <v>5195</v>
      </c>
      <c r="G73" s="35">
        <f t="shared" si="62"/>
        <v>5195</v>
      </c>
      <c r="H73" s="35">
        <f>SUMIF('5 Year Supply Plan'!A:A,'JZ_BRAND SPLITS'!C73,'5 Year Supply Plan'!I:I)</f>
        <v>5760</v>
      </c>
      <c r="I73" s="35">
        <f t="shared" si="63"/>
        <v>5760</v>
      </c>
      <c r="J73" s="35">
        <f>SUMIF('5 Year Supply Plan'!A:A,'JZ_BRAND SPLITS'!C73,'5 Year Supply Plan'!J:J)</f>
        <v>4800</v>
      </c>
      <c r="K73" s="35">
        <f t="shared" si="64"/>
        <v>4800</v>
      </c>
      <c r="L73" s="35">
        <f>SUMIF('5 Year Supply Plan'!A:A,'JZ_BRAND SPLITS'!C73,'5 Year Supply Plan'!K:K)</f>
        <v>2049</v>
      </c>
      <c r="M73" s="35">
        <f t="shared" si="65"/>
        <v>2049</v>
      </c>
      <c r="N73" s="35">
        <f>SUMIF('5 Year Supply Plan'!A:A,'JZ_BRAND SPLITS'!C73,'5 Year Supply Plan'!L:L)</f>
        <v>1047</v>
      </c>
      <c r="O73" s="35">
        <f t="shared" si="66"/>
        <v>1047</v>
      </c>
      <c r="P73" s="35">
        <f>SUMIF('5 Year Supply Plan'!A:A,'JZ_BRAND SPLITS'!C73,'5 Year Supply Plan'!M:M)</f>
        <v>1823</v>
      </c>
      <c r="Q73" s="35">
        <f t="shared" si="67"/>
        <v>1823</v>
      </c>
      <c r="R73" s="35">
        <f>SUMIF('5 Year Supply Plan'!A:A,'JZ_BRAND SPLITS'!C73,'5 Year Supply Plan'!N:N)</f>
        <v>1774</v>
      </c>
      <c r="S73" s="35">
        <f t="shared" si="68"/>
        <v>1774</v>
      </c>
      <c r="T73" s="35">
        <f>SUMIF('5 Year Supply Plan'!A:A,'JZ_BRAND SPLITS'!C73,'5 Year Supply Plan'!O:O)</f>
        <v>1927</v>
      </c>
      <c r="U73" s="35">
        <f t="shared" si="69"/>
        <v>1927</v>
      </c>
      <c r="V73" s="35">
        <f>SUMIF('5 Year Supply Plan'!A:A,'JZ_BRAND SPLITS'!C73,'5 Year Supply Plan'!P:P)</f>
        <v>1984</v>
      </c>
      <c r="W73" s="35">
        <f t="shared" si="70"/>
        <v>1984</v>
      </c>
      <c r="X73" s="35">
        <f>SUMIF('5 Year Supply Plan'!A:A,'JZ_BRAND SPLITS'!C73,'5 Year Supply Plan'!Q:Q)</f>
        <v>1937</v>
      </c>
      <c r="Y73" s="35">
        <f t="shared" si="71"/>
        <v>1937</v>
      </c>
      <c r="Z73" s="35">
        <f>SUMIF('5 Year Supply Plan'!A:A,'JZ_BRAND SPLITS'!C73,'5 Year Supply Plan'!R:R)</f>
        <v>1948</v>
      </c>
      <c r="AA73" s="35">
        <f t="shared" si="72"/>
        <v>1948</v>
      </c>
      <c r="AB73" s="35">
        <f>SUMIF('5 Year Supply Plan'!A:A,'JZ_BRAND SPLITS'!C73,'5 Year Supply Plan'!S:S)</f>
        <v>3401</v>
      </c>
      <c r="AC73" s="35">
        <f t="shared" si="73"/>
        <v>3401</v>
      </c>
      <c r="AD73" s="35">
        <f>SUMIF('5 Year Supply Plan'!A:A,'JZ_BRAND SPLITS'!C73,'5 Year Supply Plan'!T:T)</f>
        <v>3207</v>
      </c>
      <c r="AE73" s="35">
        <f t="shared" si="74"/>
        <v>3207</v>
      </c>
      <c r="AF73" s="35">
        <f>SUMIF('5 Year Supply Plan'!A:A,'JZ_BRAND SPLITS'!C73,'5 Year Supply Plan'!U:U)</f>
        <v>2395</v>
      </c>
      <c r="AG73" s="35">
        <f t="shared" si="75"/>
        <v>2395</v>
      </c>
      <c r="AH73" s="35">
        <f>SUMIF('5 Year Supply Plan'!A:A,'JZ_BRAND SPLITS'!C73,'5 Year Supply Plan'!V:V)</f>
        <v>3046</v>
      </c>
      <c r="AI73" s="35">
        <f t="shared" si="76"/>
        <v>3046</v>
      </c>
      <c r="AJ73" s="35">
        <f>SUMIF('5 Year Supply Plan'!A:A,'JZ_BRAND SPLITS'!C73,'5 Year Supply Plan'!W:W)</f>
        <v>3248</v>
      </c>
      <c r="AK73" s="35">
        <f t="shared" si="77"/>
        <v>3248</v>
      </c>
      <c r="AL73" s="35">
        <f>SUMIF('5 Year Supply Plan'!A:A,'JZ_BRAND SPLITS'!C73,'5 Year Supply Plan'!X:X)</f>
        <v>3194</v>
      </c>
      <c r="AM73" s="35">
        <f t="shared" si="78"/>
        <v>3194</v>
      </c>
      <c r="AN73" s="35">
        <f>SUMIF('5 Year Supply Plan'!A:A,'JZ_BRAND SPLITS'!C73,'5 Year Supply Plan'!Y:Y)</f>
        <v>2946</v>
      </c>
      <c r="AO73" s="35">
        <f t="shared" si="79"/>
        <v>2946</v>
      </c>
      <c r="AP73" s="35">
        <f>SUMIF('5 Year Supply Plan'!A:A,'JZ_BRAND SPLITS'!C73,'5 Year Supply Plan'!Z:Z)</f>
        <v>3097</v>
      </c>
      <c r="AQ73" s="35">
        <f t="shared" si="80"/>
        <v>3097</v>
      </c>
      <c r="AR73" s="35">
        <f>SUMIF('5 Year Supply Plan'!A:A,'JZ_BRAND SPLITS'!C73,'5 Year Supply Plan'!AA:AA)</f>
        <v>3153</v>
      </c>
      <c r="AS73" s="35">
        <f t="shared" si="81"/>
        <v>3153</v>
      </c>
      <c r="AT73" s="35">
        <f>SUMIF('5 Year Supply Plan'!A:A,'JZ_BRAND SPLITS'!C73,'5 Year Supply Plan'!AB:AB)</f>
        <v>3206</v>
      </c>
      <c r="AU73" s="35">
        <f t="shared" si="82"/>
        <v>3206</v>
      </c>
      <c r="AV73" s="35">
        <f>SUMIF('5 Year Supply Plan'!A:A,'JZ_BRAND SPLITS'!C73,'5 Year Supply Plan'!AC:AC)</f>
        <v>3008</v>
      </c>
      <c r="AW73" s="35">
        <f t="shared" si="83"/>
        <v>3008</v>
      </c>
      <c r="AX73" s="35">
        <f>SUMIF('5 Year Supply Plan'!A:A,'JZ_BRAND SPLITS'!C73,'5 Year Supply Plan'!AD:AD)</f>
        <v>3025</v>
      </c>
      <c r="AY73" s="35">
        <f t="shared" si="84"/>
        <v>3025</v>
      </c>
      <c r="AZ73" s="35">
        <f>SUMIF('5 Year Supply Plan'!A:A,'JZ_BRAND SPLITS'!C73,'5 Year Supply Plan'!AE:AE)</f>
        <v>3536</v>
      </c>
      <c r="BA73" s="35">
        <f t="shared" si="85"/>
        <v>3536</v>
      </c>
      <c r="BB73" s="35">
        <f>SUMIF('5 Year Supply Plan'!A:A,'JZ_BRAND SPLITS'!C73,'5 Year Supply Plan'!AF:AF)</f>
        <v>3338</v>
      </c>
      <c r="BC73" s="35">
        <f t="shared" si="86"/>
        <v>3338</v>
      </c>
      <c r="BD73" s="35">
        <f>SUMIF('5 Year Supply Plan'!A:A,'JZ_BRAND SPLITS'!C73,'5 Year Supply Plan'!AG:AG)</f>
        <v>2493</v>
      </c>
      <c r="BE73" s="35">
        <f t="shared" si="87"/>
        <v>2493</v>
      </c>
      <c r="BF73" s="35">
        <f>SUMIF('5 Year Supply Plan'!A:A,'JZ_BRAND SPLITS'!C73,'5 Year Supply Plan'!AH:AH)</f>
        <v>3159</v>
      </c>
      <c r="BG73" s="35">
        <f t="shared" si="88"/>
        <v>3159</v>
      </c>
      <c r="BH73" s="35">
        <f>SUMIF('5 Year Supply Plan'!A:A,'JZ_BRAND SPLITS'!C73,'5 Year Supply Plan'!AI:AI)</f>
        <v>3366</v>
      </c>
      <c r="BI73" s="35">
        <f t="shared" si="89"/>
        <v>3366</v>
      </c>
      <c r="BJ73" s="35">
        <f>SUMIF('5 Year Supply Plan'!A:A,'JZ_BRAND SPLITS'!C73,'5 Year Supply Plan'!AJ:AJ)</f>
        <v>3310</v>
      </c>
      <c r="BK73" s="35">
        <f t="shared" si="90"/>
        <v>3310</v>
      </c>
      <c r="BL73" s="35">
        <f>SUMIF('5 Year Supply Plan'!A:A,'JZ_BRAND SPLITS'!C73,'5 Year Supply Plan'!AK:AK)</f>
        <v>2931</v>
      </c>
      <c r="BM73" s="35">
        <f t="shared" si="91"/>
        <v>2931</v>
      </c>
      <c r="BN73" s="35">
        <f>SUMIF('5 Year Supply Plan'!A:A,'JZ_BRAND SPLITS'!C73,'5 Year Supply Plan'!AL:AL)</f>
        <v>3134</v>
      </c>
      <c r="BO73" s="35">
        <f t="shared" si="92"/>
        <v>3134</v>
      </c>
      <c r="BP73" s="35">
        <f>SUMIF('5 Year Supply Plan'!A:A,'JZ_BRAND SPLITS'!C73,'5 Year Supply Plan'!AM:AM)</f>
        <v>3261</v>
      </c>
      <c r="BQ73" s="35">
        <f t="shared" si="93"/>
        <v>3261</v>
      </c>
      <c r="BR73" s="35">
        <f>SUMIF('5 Year Supply Plan'!A:A,'JZ_BRAND SPLITS'!C73,'5 Year Supply Plan'!AN:AN)</f>
        <v>3309</v>
      </c>
      <c r="BS73" s="35">
        <f t="shared" si="94"/>
        <v>3309</v>
      </c>
      <c r="BT73" s="35">
        <f>SUMIF('5 Year Supply Plan'!A:A,'JZ_BRAND SPLITS'!C73,'5 Year Supply Plan'!AO:AO)</f>
        <v>3144</v>
      </c>
      <c r="BU73" s="35">
        <f t="shared" si="95"/>
        <v>3144</v>
      </c>
      <c r="BV73" s="35">
        <f>SUMIF('5 Year Supply Plan'!A:A,'JZ_BRAND SPLITS'!C73,'5 Year Supply Plan'!AP:AP)</f>
        <v>3207</v>
      </c>
      <c r="BW73" s="35">
        <f t="shared" si="96"/>
        <v>3207</v>
      </c>
      <c r="BX73" s="35">
        <f>SUMIF('5 Year Supply Plan'!A:A,'JZ_BRAND SPLITS'!C73,'5 Year Supply Plan'!AQ:AQ)</f>
        <v>3755</v>
      </c>
      <c r="BY73" s="35">
        <f t="shared" si="97"/>
        <v>3755</v>
      </c>
      <c r="BZ73" s="35">
        <f>SUMIF('5 Year Supply Plan'!A:A,'JZ_BRAND SPLITS'!C73,'5 Year Supply Plan'!AR:AR)</f>
        <v>3550</v>
      </c>
      <c r="CA73" s="35">
        <f t="shared" si="98"/>
        <v>3550</v>
      </c>
      <c r="CB73" s="35">
        <f>SUMIF('5 Year Supply Plan'!A:A,'JZ_BRAND SPLITS'!C73,'5 Year Supply Plan'!AS:AS)</f>
        <v>2667</v>
      </c>
      <c r="CC73" s="35">
        <f t="shared" si="99"/>
        <v>2667</v>
      </c>
      <c r="CD73" s="35">
        <f>SUMIF('5 Year Supply Plan'!A:A,'JZ_BRAND SPLITS'!C73,'5 Year Supply Plan'!AT:AT)</f>
        <v>3367</v>
      </c>
      <c r="CE73" s="35">
        <f t="shared" si="100"/>
        <v>3367</v>
      </c>
      <c r="CF73" s="35">
        <f>SUMIF('5 Year Supply Plan'!A:A,'JZ_BRAND SPLITS'!C73,'5 Year Supply Plan'!AU:AU)</f>
        <v>3565</v>
      </c>
      <c r="CG73" s="35">
        <f t="shared" si="101"/>
        <v>3565</v>
      </c>
      <c r="CH73" s="35">
        <f>SUMIF('5 Year Supply Plan'!A:A,'JZ_BRAND SPLITS'!C73,'5 Year Supply Plan'!AV:AV)</f>
        <v>3503</v>
      </c>
      <c r="CI73" s="35">
        <f t="shared" si="102"/>
        <v>3503</v>
      </c>
      <c r="CJ73" s="35">
        <f>SUMIF('5 Year Supply Plan'!A:A,'JZ_BRAND SPLITS'!C73,'5 Year Supply Plan'!AW:AW)</f>
        <v>3133</v>
      </c>
      <c r="CK73" s="35">
        <f t="shared" si="103"/>
        <v>3133</v>
      </c>
      <c r="CL73" s="35">
        <f>SUMIF('5 Year Supply Plan'!A:A,'JZ_BRAND SPLITS'!C73,'5 Year Supply Plan'!AX:AX)</f>
        <v>3326</v>
      </c>
      <c r="CM73" s="35">
        <f t="shared" si="104"/>
        <v>3326</v>
      </c>
      <c r="CN73" s="35">
        <f>SUMIF('5 Year Supply Plan'!A:A,'JZ_BRAND SPLITS'!C73,'5 Year Supply Plan'!AY:AY)</f>
        <v>3464</v>
      </c>
      <c r="CO73" s="35">
        <f t="shared" si="105"/>
        <v>3464</v>
      </c>
      <c r="CP73" s="35">
        <f>SUMIF('5 Year Supply Plan'!A:A,'JZ_BRAND SPLITS'!C73,'5 Year Supply Plan'!AZ:AZ)</f>
        <v>3513</v>
      </c>
      <c r="CQ73" s="35">
        <f t="shared" si="106"/>
        <v>3513</v>
      </c>
      <c r="CR73" s="35">
        <f>SUMIF('5 Year Supply Plan'!A:A,'JZ_BRAND SPLITS'!C73,'5 Year Supply Plan'!BA:BA)</f>
        <v>3337</v>
      </c>
      <c r="CS73" s="35">
        <f t="shared" si="107"/>
        <v>3337</v>
      </c>
      <c r="CT73" s="35">
        <f>SUMIF('5 Year Supply Plan'!A:A,'JZ_BRAND SPLITS'!C73,'5 Year Supply Plan'!BB:BB)</f>
        <v>3404</v>
      </c>
      <c r="CU73" s="35">
        <f t="shared" si="108"/>
        <v>3404</v>
      </c>
      <c r="CV73" s="35">
        <f>SUMIF('5 Year Supply Plan'!A:A,'JZ_BRAND SPLITS'!C73,'5 Year Supply Plan'!BC:BC)</f>
        <v>3986</v>
      </c>
      <c r="CW73" s="35">
        <f t="shared" si="109"/>
        <v>3986</v>
      </c>
      <c r="CX73" s="35">
        <f>SUMIF('5 Year Supply Plan'!A:A,'JZ_BRAND SPLITS'!C73,'5 Year Supply Plan'!BD:BD)</f>
        <v>3764</v>
      </c>
      <c r="CY73" s="35">
        <f t="shared" si="110"/>
        <v>3764</v>
      </c>
      <c r="CZ73" s="35">
        <f>SUMIF('5 Year Supply Plan'!A:A,'JZ_BRAND SPLITS'!C73,'5 Year Supply Plan'!BE:BE)</f>
        <v>2826</v>
      </c>
      <c r="DA73" s="35">
        <f t="shared" si="111"/>
        <v>2826</v>
      </c>
      <c r="DB73" s="35">
        <f>SUMIF('5 Year Supply Plan'!A:A,'JZ_BRAND SPLITS'!C73,'5 Year Supply Plan'!BF:BF)</f>
        <v>3553</v>
      </c>
      <c r="DC73" s="35">
        <f t="shared" si="112"/>
        <v>3553</v>
      </c>
      <c r="DD73" s="35">
        <f>SUMIF('5 Year Supply Plan'!A:A,'JZ_BRAND SPLITS'!C73,'5 Year Supply Plan'!BG:BG)</f>
        <v>3755</v>
      </c>
      <c r="DE73" s="35">
        <f t="shared" si="113"/>
        <v>3755</v>
      </c>
      <c r="DF73" s="35">
        <f>SUMIF('5 Year Supply Plan'!A:A,'JZ_BRAND SPLITS'!C73,'5 Year Supply Plan'!BH:BH)</f>
        <v>3758</v>
      </c>
      <c r="DG73" s="35">
        <f t="shared" si="114"/>
        <v>3758</v>
      </c>
      <c r="DH73" s="35">
        <f>SUMIF('5 Year Supply Plan'!A:A,'JZ_BRAND SPLITS'!C73,'5 Year Supply Plan'!BI:BI)</f>
        <v>3386</v>
      </c>
      <c r="DI73" s="35">
        <f t="shared" si="115"/>
        <v>3386</v>
      </c>
      <c r="DJ73" s="35">
        <f>SUMIF('5 Year Supply Plan'!A:A,'JZ_BRAND SPLITS'!C73,'5 Year Supply Plan'!BJ:BJ)</f>
        <v>3467</v>
      </c>
      <c r="DK73" s="35">
        <f t="shared" si="116"/>
        <v>3467</v>
      </c>
      <c r="DL73" s="35">
        <f>SUMIF('5 Year Supply Plan'!A:A,'JZ_BRAND SPLITS'!C73,'5 Year Supply Plan'!BK:BK)</f>
        <v>3578</v>
      </c>
      <c r="DM73" s="35">
        <f t="shared" si="117"/>
        <v>3578</v>
      </c>
      <c r="DN73" s="42">
        <f>SUMIF('5 Year Supply Plan'!A:A,'JZ_BRAND SPLITS'!C73,'5 Year Supply Plan'!BL:BL)</f>
        <v>3691</v>
      </c>
      <c r="DO73" s="35">
        <f t="shared" si="118"/>
        <v>3691</v>
      </c>
      <c r="DP73" s="35">
        <f>SUMIF('5 Year Supply Plan'!A:A,'JZ_BRAND SPLITS'!C73,'5 Year Supply Plan'!BM:BM)</f>
        <v>3510.875</v>
      </c>
      <c r="DQ73" s="35">
        <f t="shared" si="119"/>
        <v>3510.875</v>
      </c>
      <c r="DR73" s="35">
        <f>SUMIF('5 Year Supply Plan'!A:A,'JZ_BRAND SPLITS'!C73,'5 Year Supply Plan'!BN:BN)</f>
        <v>3510.875</v>
      </c>
      <c r="DS73" s="35">
        <f t="shared" si="120"/>
        <v>3510.875</v>
      </c>
      <c r="DT73" s="39">
        <f t="shared" si="121"/>
        <v>188727.75</v>
      </c>
      <c r="DU73" s="36">
        <f>SUMIF('5 Year Supply Plan'!A:A,'JZ_BRAND SPLITS'!C73,'5 Year Supply Plan'!BO:BO)</f>
        <v>188727.75</v>
      </c>
    </row>
    <row r="74" spans="1:125" x14ac:dyDescent="0.25">
      <c r="A74" s="40" t="s">
        <v>295</v>
      </c>
      <c r="B74" s="40" t="s">
        <v>296</v>
      </c>
      <c r="C74" s="40" t="s">
        <v>76</v>
      </c>
      <c r="D74" s="40" t="str">
        <f t="shared" si="61"/>
        <v>T02BENROUTE</v>
      </c>
      <c r="E74" s="41">
        <v>1</v>
      </c>
      <c r="F74" s="35">
        <f>SUMIF('5 Year Supply Plan'!A:A,'JZ_BRAND SPLITS'!C74,'5 Year Supply Plan'!H:H)</f>
        <v>2005</v>
      </c>
      <c r="G74" s="35">
        <f t="shared" si="62"/>
        <v>2005</v>
      </c>
      <c r="H74" s="35">
        <f>SUMIF('5 Year Supply Plan'!A:A,'JZ_BRAND SPLITS'!C74,'5 Year Supply Plan'!I:I)</f>
        <v>1700</v>
      </c>
      <c r="I74" s="35">
        <f t="shared" si="63"/>
        <v>1700</v>
      </c>
      <c r="J74" s="35">
        <f>SUMIF('5 Year Supply Plan'!A:A,'JZ_BRAND SPLITS'!C74,'5 Year Supply Plan'!J:J)</f>
        <v>2100</v>
      </c>
      <c r="K74" s="35">
        <f t="shared" si="64"/>
        <v>2100</v>
      </c>
      <c r="L74" s="35">
        <f>SUMIF('5 Year Supply Plan'!A:A,'JZ_BRAND SPLITS'!C74,'5 Year Supply Plan'!K:K)</f>
        <v>3200</v>
      </c>
      <c r="M74" s="35">
        <f t="shared" si="65"/>
        <v>3200</v>
      </c>
      <c r="N74" s="35">
        <f>SUMIF('5 Year Supply Plan'!A:A,'JZ_BRAND SPLITS'!C74,'5 Year Supply Plan'!L:L)</f>
        <v>2200</v>
      </c>
      <c r="O74" s="35">
        <f t="shared" si="66"/>
        <v>2200</v>
      </c>
      <c r="P74" s="35">
        <f>SUMIF('5 Year Supply Plan'!A:A,'JZ_BRAND SPLITS'!C74,'5 Year Supply Plan'!M:M)</f>
        <v>3200</v>
      </c>
      <c r="Q74" s="35">
        <f t="shared" si="67"/>
        <v>3200</v>
      </c>
      <c r="R74" s="35">
        <f>SUMIF('5 Year Supply Plan'!A:A,'JZ_BRAND SPLITS'!C74,'5 Year Supply Plan'!N:N)</f>
        <v>3200</v>
      </c>
      <c r="S74" s="35">
        <f t="shared" si="68"/>
        <v>3200</v>
      </c>
      <c r="T74" s="35">
        <f>SUMIF('5 Year Supply Plan'!A:A,'JZ_BRAND SPLITS'!C74,'5 Year Supply Plan'!O:O)</f>
        <v>2800</v>
      </c>
      <c r="U74" s="35">
        <f t="shared" si="69"/>
        <v>2800</v>
      </c>
      <c r="V74" s="35">
        <f>SUMIF('5 Year Supply Plan'!A:A,'JZ_BRAND SPLITS'!C74,'5 Year Supply Plan'!P:P)</f>
        <v>3150</v>
      </c>
      <c r="W74" s="35">
        <f t="shared" si="70"/>
        <v>3150</v>
      </c>
      <c r="X74" s="35">
        <f>SUMIF('5 Year Supply Plan'!A:A,'JZ_BRAND SPLITS'!C74,'5 Year Supply Plan'!Q:Q)</f>
        <v>3050</v>
      </c>
      <c r="Y74" s="35">
        <f t="shared" si="71"/>
        <v>3050</v>
      </c>
      <c r="Z74" s="35">
        <f>SUMIF('5 Year Supply Plan'!A:A,'JZ_BRAND SPLITS'!C74,'5 Year Supply Plan'!R:R)</f>
        <v>3200</v>
      </c>
      <c r="AA74" s="35">
        <f t="shared" si="72"/>
        <v>3200</v>
      </c>
      <c r="AB74" s="35">
        <f>SUMIF('5 Year Supply Plan'!A:A,'JZ_BRAND SPLITS'!C74,'5 Year Supply Plan'!S:S)</f>
        <v>2985</v>
      </c>
      <c r="AC74" s="35">
        <f t="shared" si="73"/>
        <v>2985</v>
      </c>
      <c r="AD74" s="35">
        <f>SUMIF('5 Year Supply Plan'!A:A,'JZ_BRAND SPLITS'!C74,'5 Year Supply Plan'!T:T)</f>
        <v>2950</v>
      </c>
      <c r="AE74" s="35">
        <f t="shared" si="74"/>
        <v>2950</v>
      </c>
      <c r="AF74" s="35">
        <f>SUMIF('5 Year Supply Plan'!A:A,'JZ_BRAND SPLITS'!C74,'5 Year Supply Plan'!U:U)</f>
        <v>3000</v>
      </c>
      <c r="AG74" s="35">
        <f t="shared" si="75"/>
        <v>3000</v>
      </c>
      <c r="AH74" s="35">
        <f>SUMIF('5 Year Supply Plan'!A:A,'JZ_BRAND SPLITS'!C74,'5 Year Supply Plan'!V:V)</f>
        <v>2950</v>
      </c>
      <c r="AI74" s="35">
        <f t="shared" si="76"/>
        <v>2950</v>
      </c>
      <c r="AJ74" s="35">
        <f>SUMIF('5 Year Supply Plan'!A:A,'JZ_BRAND SPLITS'!C74,'5 Year Supply Plan'!W:W)</f>
        <v>2850</v>
      </c>
      <c r="AK74" s="35">
        <f t="shared" si="77"/>
        <v>2850</v>
      </c>
      <c r="AL74" s="35">
        <f>SUMIF('5 Year Supply Plan'!A:A,'JZ_BRAND SPLITS'!C74,'5 Year Supply Plan'!X:X)</f>
        <v>3385</v>
      </c>
      <c r="AM74" s="35">
        <f t="shared" si="78"/>
        <v>3385</v>
      </c>
      <c r="AN74" s="35">
        <f>SUMIF('5 Year Supply Plan'!A:A,'JZ_BRAND SPLITS'!C74,'5 Year Supply Plan'!Y:Y)</f>
        <v>2750</v>
      </c>
      <c r="AO74" s="35">
        <f t="shared" si="79"/>
        <v>2750</v>
      </c>
      <c r="AP74" s="35">
        <f>SUMIF('5 Year Supply Plan'!A:A,'JZ_BRAND SPLITS'!C74,'5 Year Supply Plan'!Z:Z)</f>
        <v>2535</v>
      </c>
      <c r="AQ74" s="35">
        <f t="shared" si="80"/>
        <v>2535</v>
      </c>
      <c r="AR74" s="35">
        <f>SUMIF('5 Year Supply Plan'!A:A,'JZ_BRAND SPLITS'!C74,'5 Year Supply Plan'!AA:AA)</f>
        <v>3350</v>
      </c>
      <c r="AS74" s="35">
        <f t="shared" si="81"/>
        <v>3350</v>
      </c>
      <c r="AT74" s="35">
        <f>SUMIF('5 Year Supply Plan'!A:A,'JZ_BRAND SPLITS'!C74,'5 Year Supply Plan'!AB:AB)</f>
        <v>3150</v>
      </c>
      <c r="AU74" s="35">
        <f t="shared" si="82"/>
        <v>3150</v>
      </c>
      <c r="AV74" s="35">
        <f>SUMIF('5 Year Supply Plan'!A:A,'JZ_BRAND SPLITS'!C74,'5 Year Supply Plan'!AC:AC)</f>
        <v>3050</v>
      </c>
      <c r="AW74" s="35">
        <f t="shared" si="83"/>
        <v>3050</v>
      </c>
      <c r="AX74" s="35">
        <f>SUMIF('5 Year Supply Plan'!A:A,'JZ_BRAND SPLITS'!C74,'5 Year Supply Plan'!AD:AD)</f>
        <v>3200</v>
      </c>
      <c r="AY74" s="35">
        <f t="shared" si="84"/>
        <v>3200</v>
      </c>
      <c r="AZ74" s="35">
        <f>SUMIF('5 Year Supply Plan'!A:A,'JZ_BRAND SPLITS'!C74,'5 Year Supply Plan'!AE:AE)</f>
        <v>2985</v>
      </c>
      <c r="BA74" s="35">
        <f t="shared" si="85"/>
        <v>2985</v>
      </c>
      <c r="BB74" s="35">
        <f>SUMIF('5 Year Supply Plan'!A:A,'JZ_BRAND SPLITS'!C74,'5 Year Supply Plan'!AF:AF)</f>
        <v>2950</v>
      </c>
      <c r="BC74" s="35">
        <f t="shared" si="86"/>
        <v>2950</v>
      </c>
      <c r="BD74" s="35">
        <f>SUMIF('5 Year Supply Plan'!A:A,'JZ_BRAND SPLITS'!C74,'5 Year Supply Plan'!AG:AG)</f>
        <v>3000</v>
      </c>
      <c r="BE74" s="35">
        <f t="shared" si="87"/>
        <v>3000</v>
      </c>
      <c r="BF74" s="35">
        <f>SUMIF('5 Year Supply Plan'!A:A,'JZ_BRAND SPLITS'!C74,'5 Year Supply Plan'!AH:AH)</f>
        <v>2950</v>
      </c>
      <c r="BG74" s="35">
        <f t="shared" si="88"/>
        <v>2950</v>
      </c>
      <c r="BH74" s="35">
        <f>SUMIF('5 Year Supply Plan'!A:A,'JZ_BRAND SPLITS'!C74,'5 Year Supply Plan'!AI:AI)</f>
        <v>2850</v>
      </c>
      <c r="BI74" s="35">
        <f t="shared" si="89"/>
        <v>2850</v>
      </c>
      <c r="BJ74" s="35">
        <f>SUMIF('5 Year Supply Plan'!A:A,'JZ_BRAND SPLITS'!C74,'5 Year Supply Plan'!AJ:AJ)</f>
        <v>3385</v>
      </c>
      <c r="BK74" s="35">
        <f t="shared" si="90"/>
        <v>3385</v>
      </c>
      <c r="BL74" s="35">
        <f>SUMIF('5 Year Supply Plan'!A:A,'JZ_BRAND SPLITS'!C74,'5 Year Supply Plan'!AK:AK)</f>
        <v>2750</v>
      </c>
      <c r="BM74" s="35">
        <f t="shared" si="91"/>
        <v>2750</v>
      </c>
      <c r="BN74" s="35">
        <f>SUMIF('5 Year Supply Plan'!A:A,'JZ_BRAND SPLITS'!C74,'5 Year Supply Plan'!AL:AL)</f>
        <v>2535</v>
      </c>
      <c r="BO74" s="35">
        <f t="shared" si="92"/>
        <v>2535</v>
      </c>
      <c r="BP74" s="35">
        <f>SUMIF('5 Year Supply Plan'!A:A,'JZ_BRAND SPLITS'!C74,'5 Year Supply Plan'!AM:AM)</f>
        <v>3350</v>
      </c>
      <c r="BQ74" s="35">
        <f t="shared" si="93"/>
        <v>3350</v>
      </c>
      <c r="BR74" s="35">
        <f>SUMIF('5 Year Supply Plan'!A:A,'JZ_BRAND SPLITS'!C74,'5 Year Supply Plan'!AN:AN)</f>
        <v>3150</v>
      </c>
      <c r="BS74" s="35">
        <f t="shared" si="94"/>
        <v>3150</v>
      </c>
      <c r="BT74" s="35">
        <f>SUMIF('5 Year Supply Plan'!A:A,'JZ_BRAND SPLITS'!C74,'5 Year Supply Plan'!AO:AO)</f>
        <v>3050</v>
      </c>
      <c r="BU74" s="35">
        <f t="shared" si="95"/>
        <v>3050</v>
      </c>
      <c r="BV74" s="35">
        <f>SUMIF('5 Year Supply Plan'!A:A,'JZ_BRAND SPLITS'!C74,'5 Year Supply Plan'!AP:AP)</f>
        <v>3200</v>
      </c>
      <c r="BW74" s="35">
        <f t="shared" si="96"/>
        <v>3200</v>
      </c>
      <c r="BX74" s="35">
        <f>SUMIF('5 Year Supply Plan'!A:A,'JZ_BRAND SPLITS'!C74,'5 Year Supply Plan'!AQ:AQ)</f>
        <v>2985</v>
      </c>
      <c r="BY74" s="35">
        <f t="shared" si="97"/>
        <v>2985</v>
      </c>
      <c r="BZ74" s="35">
        <f>SUMIF('5 Year Supply Plan'!A:A,'JZ_BRAND SPLITS'!C74,'5 Year Supply Plan'!AR:AR)</f>
        <v>2950</v>
      </c>
      <c r="CA74" s="35">
        <f t="shared" si="98"/>
        <v>2950</v>
      </c>
      <c r="CB74" s="35">
        <f>SUMIF('5 Year Supply Plan'!A:A,'JZ_BRAND SPLITS'!C74,'5 Year Supply Plan'!AS:AS)</f>
        <v>3000</v>
      </c>
      <c r="CC74" s="35">
        <f t="shared" si="99"/>
        <v>3000</v>
      </c>
      <c r="CD74" s="35">
        <f>SUMIF('5 Year Supply Plan'!A:A,'JZ_BRAND SPLITS'!C74,'5 Year Supply Plan'!AT:AT)</f>
        <v>2950</v>
      </c>
      <c r="CE74" s="35">
        <f t="shared" si="100"/>
        <v>2950</v>
      </c>
      <c r="CF74" s="35">
        <f>SUMIF('5 Year Supply Plan'!A:A,'JZ_BRAND SPLITS'!C74,'5 Year Supply Plan'!AU:AU)</f>
        <v>2850</v>
      </c>
      <c r="CG74" s="35">
        <f t="shared" si="101"/>
        <v>2850</v>
      </c>
      <c r="CH74" s="35">
        <f>SUMIF('5 Year Supply Plan'!A:A,'JZ_BRAND SPLITS'!C74,'5 Year Supply Plan'!AV:AV)</f>
        <v>3385</v>
      </c>
      <c r="CI74" s="35">
        <f t="shared" si="102"/>
        <v>3385</v>
      </c>
      <c r="CJ74" s="35">
        <f>SUMIF('5 Year Supply Plan'!A:A,'JZ_BRAND SPLITS'!C74,'5 Year Supply Plan'!AW:AW)</f>
        <v>2832.5</v>
      </c>
      <c r="CK74" s="35">
        <f t="shared" si="103"/>
        <v>2832.5</v>
      </c>
      <c r="CL74" s="35">
        <f>SUMIF('5 Year Supply Plan'!A:A,'JZ_BRAND SPLITS'!C74,'5 Year Supply Plan'!AX:AX)</f>
        <v>2611.0500000000002</v>
      </c>
      <c r="CM74" s="35">
        <f t="shared" si="104"/>
        <v>2611.0500000000002</v>
      </c>
      <c r="CN74" s="35">
        <f>SUMIF('5 Year Supply Plan'!A:A,'JZ_BRAND SPLITS'!C74,'5 Year Supply Plan'!AY:AY)</f>
        <v>3450.5</v>
      </c>
      <c r="CO74" s="35">
        <f t="shared" si="105"/>
        <v>3450.5</v>
      </c>
      <c r="CP74" s="35">
        <f>SUMIF('5 Year Supply Plan'!A:A,'JZ_BRAND SPLITS'!C74,'5 Year Supply Plan'!AZ:AZ)</f>
        <v>3244.5</v>
      </c>
      <c r="CQ74" s="35">
        <f t="shared" si="106"/>
        <v>3244.5</v>
      </c>
      <c r="CR74" s="35">
        <f>SUMIF('5 Year Supply Plan'!A:A,'JZ_BRAND SPLITS'!C74,'5 Year Supply Plan'!BA:BA)</f>
        <v>3141.5</v>
      </c>
      <c r="CS74" s="35">
        <f t="shared" si="107"/>
        <v>3141.5</v>
      </c>
      <c r="CT74" s="35">
        <f>SUMIF('5 Year Supply Plan'!A:A,'JZ_BRAND SPLITS'!C74,'5 Year Supply Plan'!BB:BB)</f>
        <v>3296</v>
      </c>
      <c r="CU74" s="35">
        <f t="shared" si="108"/>
        <v>3296</v>
      </c>
      <c r="CV74" s="35">
        <f>SUMIF('5 Year Supply Plan'!A:A,'JZ_BRAND SPLITS'!C74,'5 Year Supply Plan'!BC:BC)</f>
        <v>3074.55</v>
      </c>
      <c r="CW74" s="35">
        <f t="shared" si="109"/>
        <v>3074.55</v>
      </c>
      <c r="CX74" s="35">
        <f>SUMIF('5 Year Supply Plan'!A:A,'JZ_BRAND SPLITS'!C74,'5 Year Supply Plan'!BD:BD)</f>
        <v>3038.5</v>
      </c>
      <c r="CY74" s="35">
        <f t="shared" si="110"/>
        <v>3038.5</v>
      </c>
      <c r="CZ74" s="35">
        <f>SUMIF('5 Year Supply Plan'!A:A,'JZ_BRAND SPLITS'!C74,'5 Year Supply Plan'!BE:BE)</f>
        <v>3090</v>
      </c>
      <c r="DA74" s="35">
        <f t="shared" si="111"/>
        <v>3090</v>
      </c>
      <c r="DB74" s="35">
        <f>SUMIF('5 Year Supply Plan'!A:A,'JZ_BRAND SPLITS'!C74,'5 Year Supply Plan'!BF:BF)</f>
        <v>3038.5</v>
      </c>
      <c r="DC74" s="35">
        <f t="shared" si="112"/>
        <v>3038.5</v>
      </c>
      <c r="DD74" s="35">
        <f>SUMIF('5 Year Supply Plan'!A:A,'JZ_BRAND SPLITS'!C74,'5 Year Supply Plan'!BG:BG)</f>
        <v>2935.5</v>
      </c>
      <c r="DE74" s="35">
        <f t="shared" si="113"/>
        <v>2935.5</v>
      </c>
      <c r="DF74" s="35">
        <f>SUMIF('5 Year Supply Plan'!A:A,'JZ_BRAND SPLITS'!C74,'5 Year Supply Plan'!BH:BH)</f>
        <v>3486.55</v>
      </c>
      <c r="DG74" s="35">
        <f t="shared" si="114"/>
        <v>3486.55</v>
      </c>
      <c r="DH74" s="35">
        <f>SUMIF('5 Year Supply Plan'!A:A,'JZ_BRAND SPLITS'!C74,'5 Year Supply Plan'!BI:BI)</f>
        <v>2917.4749999999999</v>
      </c>
      <c r="DI74" s="35">
        <f t="shared" si="115"/>
        <v>2917.4749999999999</v>
      </c>
      <c r="DJ74" s="35">
        <f>SUMIF('5 Year Supply Plan'!A:A,'JZ_BRAND SPLITS'!C74,'5 Year Supply Plan'!BJ:BJ)</f>
        <v>2689.3815000000004</v>
      </c>
      <c r="DK74" s="35">
        <f t="shared" si="116"/>
        <v>2689.3815000000004</v>
      </c>
      <c r="DL74" s="35">
        <f>SUMIF('5 Year Supply Plan'!A:A,'JZ_BRAND SPLITS'!C74,'5 Year Supply Plan'!BK:BK)</f>
        <v>3554.0149999999999</v>
      </c>
      <c r="DM74" s="35">
        <f t="shared" si="117"/>
        <v>3554.0149999999999</v>
      </c>
      <c r="DN74" s="42">
        <f>SUMIF('5 Year Supply Plan'!A:A,'JZ_BRAND SPLITS'!C74,'5 Year Supply Plan'!BL:BL)</f>
        <v>3341.835</v>
      </c>
      <c r="DO74" s="35">
        <f t="shared" si="118"/>
        <v>3341.835</v>
      </c>
      <c r="DP74" s="35">
        <f>SUMIF('5 Year Supply Plan'!A:A,'JZ_BRAND SPLITS'!C74,'5 Year Supply Plan'!BM:BM)</f>
        <v>3235.7449999999999</v>
      </c>
      <c r="DQ74" s="35">
        <f t="shared" si="119"/>
        <v>3235.7449999999999</v>
      </c>
      <c r="DR74" s="35">
        <f>SUMIF('5 Year Supply Plan'!A:A,'JZ_BRAND SPLITS'!C74,'5 Year Supply Plan'!BN:BN)</f>
        <v>3394.88</v>
      </c>
      <c r="DS74" s="35">
        <f t="shared" si="120"/>
        <v>3394.88</v>
      </c>
      <c r="DT74" s="39">
        <f t="shared" si="121"/>
        <v>176607.98149999999</v>
      </c>
      <c r="DU74" s="36">
        <f>SUMIF('5 Year Supply Plan'!A:A,'JZ_BRAND SPLITS'!C74,'5 Year Supply Plan'!BO:BO)</f>
        <v>176607.98149999997</v>
      </c>
    </row>
    <row r="75" spans="1:125" x14ac:dyDescent="0.25">
      <c r="A75" s="40" t="s">
        <v>297</v>
      </c>
      <c r="B75" s="40" t="s">
        <v>298</v>
      </c>
      <c r="C75" s="40" t="s">
        <v>72</v>
      </c>
      <c r="D75" s="40" t="str">
        <f t="shared" si="61"/>
        <v>T03BRITE TIP RADIANZ</v>
      </c>
      <c r="E75" s="41">
        <v>1</v>
      </c>
      <c r="F75" s="35">
        <f>SUMIF('5 Year Supply Plan'!A:A,'JZ_BRAND SPLITS'!C75,'5 Year Supply Plan'!H:H)</f>
        <v>550</v>
      </c>
      <c r="G75" s="35">
        <f t="shared" si="62"/>
        <v>550</v>
      </c>
      <c r="H75" s="35">
        <f>SUMIF('5 Year Supply Plan'!A:A,'JZ_BRAND SPLITS'!C75,'5 Year Supply Plan'!I:I)</f>
        <v>720</v>
      </c>
      <c r="I75" s="35">
        <f t="shared" si="63"/>
        <v>720</v>
      </c>
      <c r="J75" s="35">
        <f>SUMIF('5 Year Supply Plan'!A:A,'JZ_BRAND SPLITS'!C75,'5 Year Supply Plan'!J:J)</f>
        <v>600</v>
      </c>
      <c r="K75" s="35">
        <f t="shared" si="64"/>
        <v>600</v>
      </c>
      <c r="L75" s="35">
        <f>SUMIF('5 Year Supply Plan'!A:A,'JZ_BRAND SPLITS'!C75,'5 Year Supply Plan'!K:K)</f>
        <v>250</v>
      </c>
      <c r="M75" s="35">
        <f t="shared" si="65"/>
        <v>250</v>
      </c>
      <c r="N75" s="35">
        <f>SUMIF('5 Year Supply Plan'!A:A,'JZ_BRAND SPLITS'!C75,'5 Year Supply Plan'!L:L)</f>
        <v>150</v>
      </c>
      <c r="O75" s="35">
        <f t="shared" si="66"/>
        <v>150</v>
      </c>
      <c r="P75" s="35">
        <f>SUMIF('5 Year Supply Plan'!A:A,'JZ_BRAND SPLITS'!C75,'5 Year Supply Plan'!M:M)</f>
        <v>245</v>
      </c>
      <c r="Q75" s="35">
        <f t="shared" si="67"/>
        <v>245</v>
      </c>
      <c r="R75" s="35">
        <f>SUMIF('5 Year Supply Plan'!A:A,'JZ_BRAND SPLITS'!C75,'5 Year Supply Plan'!N:N)</f>
        <v>250</v>
      </c>
      <c r="S75" s="35">
        <f t="shared" si="68"/>
        <v>250</v>
      </c>
      <c r="T75" s="35">
        <f>SUMIF('5 Year Supply Plan'!A:A,'JZ_BRAND SPLITS'!C75,'5 Year Supply Plan'!O:O)</f>
        <v>250</v>
      </c>
      <c r="U75" s="35">
        <f t="shared" si="69"/>
        <v>250</v>
      </c>
      <c r="V75" s="35">
        <f>SUMIF('5 Year Supply Plan'!A:A,'JZ_BRAND SPLITS'!C75,'5 Year Supply Plan'!P:P)</f>
        <v>250</v>
      </c>
      <c r="W75" s="35">
        <f t="shared" si="70"/>
        <v>250</v>
      </c>
      <c r="X75" s="35">
        <f>SUMIF('5 Year Supply Plan'!A:A,'JZ_BRAND SPLITS'!C75,'5 Year Supply Plan'!Q:Q)</f>
        <v>250</v>
      </c>
      <c r="Y75" s="35">
        <f t="shared" si="71"/>
        <v>250</v>
      </c>
      <c r="Z75" s="35">
        <f>SUMIF('5 Year Supply Plan'!A:A,'JZ_BRAND SPLITS'!C75,'5 Year Supply Plan'!R:R)</f>
        <v>250</v>
      </c>
      <c r="AA75" s="35">
        <f t="shared" si="72"/>
        <v>250</v>
      </c>
      <c r="AB75" s="35">
        <f>SUMIF('5 Year Supply Plan'!A:A,'JZ_BRAND SPLITS'!C75,'5 Year Supply Plan'!S:S)</f>
        <v>459</v>
      </c>
      <c r="AC75" s="35">
        <f t="shared" si="73"/>
        <v>459</v>
      </c>
      <c r="AD75" s="35">
        <f>SUMIF('5 Year Supply Plan'!A:A,'JZ_BRAND SPLITS'!C75,'5 Year Supply Plan'!T:T)</f>
        <v>499</v>
      </c>
      <c r="AE75" s="35">
        <f t="shared" si="74"/>
        <v>499</v>
      </c>
      <c r="AF75" s="35">
        <f>SUMIF('5 Year Supply Plan'!A:A,'JZ_BRAND SPLITS'!C75,'5 Year Supply Plan'!U:U)</f>
        <v>440</v>
      </c>
      <c r="AG75" s="35">
        <f t="shared" si="75"/>
        <v>440</v>
      </c>
      <c r="AH75" s="35">
        <f>SUMIF('5 Year Supply Plan'!A:A,'JZ_BRAND SPLITS'!C75,'5 Year Supply Plan'!V:V)</f>
        <v>777</v>
      </c>
      <c r="AI75" s="35">
        <f t="shared" si="76"/>
        <v>777</v>
      </c>
      <c r="AJ75" s="35">
        <f>SUMIF('5 Year Supply Plan'!A:A,'JZ_BRAND SPLITS'!C75,'5 Year Supply Plan'!W:W)</f>
        <v>771</v>
      </c>
      <c r="AK75" s="35">
        <f t="shared" si="77"/>
        <v>771</v>
      </c>
      <c r="AL75" s="35">
        <f>SUMIF('5 Year Supply Plan'!A:A,'JZ_BRAND SPLITS'!C75,'5 Year Supply Plan'!X:X)</f>
        <v>792</v>
      </c>
      <c r="AM75" s="35">
        <f t="shared" si="78"/>
        <v>792</v>
      </c>
      <c r="AN75" s="35">
        <f>SUMIF('5 Year Supply Plan'!A:A,'JZ_BRAND SPLITS'!C75,'5 Year Supply Plan'!Y:Y)</f>
        <v>288</v>
      </c>
      <c r="AO75" s="35">
        <f t="shared" si="79"/>
        <v>288</v>
      </c>
      <c r="AP75" s="35">
        <f>SUMIF('5 Year Supply Plan'!A:A,'JZ_BRAND SPLITS'!C75,'5 Year Supply Plan'!Z:Z)</f>
        <v>271</v>
      </c>
      <c r="AQ75" s="35">
        <f t="shared" si="80"/>
        <v>271</v>
      </c>
      <c r="AR75" s="35">
        <f>SUMIF('5 Year Supply Plan'!A:A,'JZ_BRAND SPLITS'!C75,'5 Year Supply Plan'!AA:AA)</f>
        <v>278</v>
      </c>
      <c r="AS75" s="35">
        <f t="shared" si="81"/>
        <v>278</v>
      </c>
      <c r="AT75" s="35">
        <f>SUMIF('5 Year Supply Plan'!A:A,'JZ_BRAND SPLITS'!C75,'5 Year Supply Plan'!AB:AB)</f>
        <v>284</v>
      </c>
      <c r="AU75" s="35">
        <f t="shared" si="82"/>
        <v>284</v>
      </c>
      <c r="AV75" s="35">
        <f>SUMIF('5 Year Supply Plan'!A:A,'JZ_BRAND SPLITS'!C75,'5 Year Supply Plan'!AC:AC)</f>
        <v>292</v>
      </c>
      <c r="AW75" s="35">
        <f t="shared" si="83"/>
        <v>292</v>
      </c>
      <c r="AX75" s="35">
        <f>SUMIF('5 Year Supply Plan'!A:A,'JZ_BRAND SPLITS'!C75,'5 Year Supply Plan'!AD:AD)</f>
        <v>284</v>
      </c>
      <c r="AY75" s="35">
        <f t="shared" si="84"/>
        <v>284</v>
      </c>
      <c r="AZ75" s="35">
        <f>SUMIF('5 Year Supply Plan'!A:A,'JZ_BRAND SPLITS'!C75,'5 Year Supply Plan'!AE:AE)</f>
        <v>473</v>
      </c>
      <c r="BA75" s="35">
        <f t="shared" si="85"/>
        <v>473</v>
      </c>
      <c r="BB75" s="35">
        <f>SUMIF('5 Year Supply Plan'!A:A,'JZ_BRAND SPLITS'!C75,'5 Year Supply Plan'!AF:AF)</f>
        <v>512</v>
      </c>
      <c r="BC75" s="35">
        <f t="shared" si="86"/>
        <v>512</v>
      </c>
      <c r="BD75" s="35">
        <f>SUMIF('5 Year Supply Plan'!A:A,'JZ_BRAND SPLITS'!C75,'5 Year Supply Plan'!AG:AG)</f>
        <v>450</v>
      </c>
      <c r="BE75" s="35">
        <f t="shared" si="87"/>
        <v>450</v>
      </c>
      <c r="BF75" s="35">
        <f>SUMIF('5 Year Supply Plan'!A:A,'JZ_BRAND SPLITS'!C75,'5 Year Supply Plan'!AH:AH)</f>
        <v>872</v>
      </c>
      <c r="BG75" s="35">
        <f t="shared" si="88"/>
        <v>872</v>
      </c>
      <c r="BH75" s="35">
        <f>SUMIF('5 Year Supply Plan'!A:A,'JZ_BRAND SPLITS'!C75,'5 Year Supply Plan'!AI:AI)</f>
        <v>875</v>
      </c>
      <c r="BI75" s="35">
        <f t="shared" si="89"/>
        <v>875</v>
      </c>
      <c r="BJ75" s="35">
        <f>SUMIF('5 Year Supply Plan'!A:A,'JZ_BRAND SPLITS'!C75,'5 Year Supply Plan'!AJ:AJ)</f>
        <v>900</v>
      </c>
      <c r="BK75" s="35">
        <f t="shared" si="90"/>
        <v>900</v>
      </c>
      <c r="BL75" s="35">
        <f>SUMIF('5 Year Supply Plan'!A:A,'JZ_BRAND SPLITS'!C75,'5 Year Supply Plan'!AK:AK)</f>
        <v>308</v>
      </c>
      <c r="BM75" s="35">
        <f t="shared" si="91"/>
        <v>308</v>
      </c>
      <c r="BN75" s="35">
        <f>SUMIF('5 Year Supply Plan'!A:A,'JZ_BRAND SPLITS'!C75,'5 Year Supply Plan'!AL:AL)</f>
        <v>285</v>
      </c>
      <c r="BO75" s="35">
        <f t="shared" si="92"/>
        <v>285</v>
      </c>
      <c r="BP75" s="35">
        <f>SUMIF('5 Year Supply Plan'!A:A,'JZ_BRAND SPLITS'!C75,'5 Year Supply Plan'!AM:AM)</f>
        <v>293</v>
      </c>
      <c r="BQ75" s="35">
        <f t="shared" si="93"/>
        <v>293</v>
      </c>
      <c r="BR75" s="35">
        <f>SUMIF('5 Year Supply Plan'!A:A,'JZ_BRAND SPLITS'!C75,'5 Year Supply Plan'!AN:AN)</f>
        <v>300</v>
      </c>
      <c r="BS75" s="35">
        <f t="shared" si="94"/>
        <v>300</v>
      </c>
      <c r="BT75" s="35">
        <f>SUMIF('5 Year Supply Plan'!A:A,'JZ_BRAND SPLITS'!C75,'5 Year Supply Plan'!AO:AO)</f>
        <v>308</v>
      </c>
      <c r="BU75" s="35">
        <f t="shared" si="95"/>
        <v>308</v>
      </c>
      <c r="BV75" s="35">
        <f>SUMIF('5 Year Supply Plan'!A:A,'JZ_BRAND SPLITS'!C75,'5 Year Supply Plan'!AP:AP)</f>
        <v>303</v>
      </c>
      <c r="BW75" s="35">
        <f t="shared" si="96"/>
        <v>303</v>
      </c>
      <c r="BX75" s="35">
        <f>SUMIF('5 Year Supply Plan'!A:A,'JZ_BRAND SPLITS'!C75,'5 Year Supply Plan'!AQ:AQ)</f>
        <v>570</v>
      </c>
      <c r="BY75" s="35">
        <f t="shared" si="97"/>
        <v>570</v>
      </c>
      <c r="BZ75" s="35">
        <f>SUMIF('5 Year Supply Plan'!A:A,'JZ_BRAND SPLITS'!C75,'5 Year Supply Plan'!AR:AR)</f>
        <v>636</v>
      </c>
      <c r="CA75" s="35">
        <f t="shared" si="98"/>
        <v>636</v>
      </c>
      <c r="CB75" s="35">
        <f>SUMIF('5 Year Supply Plan'!A:A,'JZ_BRAND SPLITS'!C75,'5 Year Supply Plan'!AS:AS)</f>
        <v>560</v>
      </c>
      <c r="CC75" s="35">
        <f t="shared" si="99"/>
        <v>560</v>
      </c>
      <c r="CD75" s="35">
        <f>SUMIF('5 Year Supply Plan'!A:A,'JZ_BRAND SPLITS'!C75,'5 Year Supply Plan'!AT:AT)</f>
        <v>950</v>
      </c>
      <c r="CE75" s="35">
        <f t="shared" si="100"/>
        <v>950</v>
      </c>
      <c r="CF75" s="35">
        <f>SUMIF('5 Year Supply Plan'!A:A,'JZ_BRAND SPLITS'!C75,'5 Year Supply Plan'!AU:AU)</f>
        <v>941</v>
      </c>
      <c r="CG75" s="35">
        <f t="shared" si="101"/>
        <v>941</v>
      </c>
      <c r="CH75" s="35">
        <f>SUMIF('5 Year Supply Plan'!A:A,'JZ_BRAND SPLITS'!C75,'5 Year Supply Plan'!AV:AV)</f>
        <v>969</v>
      </c>
      <c r="CI75" s="35">
        <f t="shared" si="102"/>
        <v>969</v>
      </c>
      <c r="CJ75" s="35">
        <f>SUMIF('5 Year Supply Plan'!A:A,'JZ_BRAND SPLITS'!C75,'5 Year Supply Plan'!AW:AW)</f>
        <v>328</v>
      </c>
      <c r="CK75" s="35">
        <f t="shared" si="103"/>
        <v>328</v>
      </c>
      <c r="CL75" s="35">
        <f>SUMIF('5 Year Supply Plan'!A:A,'JZ_BRAND SPLITS'!C75,'5 Year Supply Plan'!AX:AX)</f>
        <v>307</v>
      </c>
      <c r="CM75" s="35">
        <f t="shared" si="104"/>
        <v>307</v>
      </c>
      <c r="CN75" s="35">
        <f>SUMIF('5 Year Supply Plan'!A:A,'JZ_BRAND SPLITS'!C75,'5 Year Supply Plan'!AY:AY)</f>
        <v>315</v>
      </c>
      <c r="CO75" s="35">
        <f t="shared" si="105"/>
        <v>315</v>
      </c>
      <c r="CP75" s="35">
        <f>SUMIF('5 Year Supply Plan'!A:A,'JZ_BRAND SPLITS'!C75,'5 Year Supply Plan'!AZ:AZ)</f>
        <v>321</v>
      </c>
      <c r="CQ75" s="35">
        <f t="shared" si="106"/>
        <v>321</v>
      </c>
      <c r="CR75" s="35">
        <f>SUMIF('5 Year Supply Plan'!A:A,'JZ_BRAND SPLITS'!C75,'5 Year Supply Plan'!BA:BA)</f>
        <v>331</v>
      </c>
      <c r="CS75" s="35">
        <f t="shared" si="107"/>
        <v>331</v>
      </c>
      <c r="CT75" s="35">
        <f>SUMIF('5 Year Supply Plan'!A:A,'JZ_BRAND SPLITS'!C75,'5 Year Supply Plan'!BB:BB)</f>
        <v>323</v>
      </c>
      <c r="CU75" s="35">
        <f t="shared" si="108"/>
        <v>323</v>
      </c>
      <c r="CV75" s="35">
        <f>SUMIF('5 Year Supply Plan'!A:A,'JZ_BRAND SPLITS'!C75,'5 Year Supply Plan'!BC:BC)</f>
        <v>651</v>
      </c>
      <c r="CW75" s="35">
        <f t="shared" si="109"/>
        <v>651</v>
      </c>
      <c r="CX75" s="35">
        <f>SUMIF('5 Year Supply Plan'!A:A,'JZ_BRAND SPLITS'!C75,'5 Year Supply Plan'!BD:BD)</f>
        <v>737</v>
      </c>
      <c r="CY75" s="35">
        <f t="shared" si="110"/>
        <v>737</v>
      </c>
      <c r="CZ75" s="35">
        <f>SUMIF('5 Year Supply Plan'!A:A,'JZ_BRAND SPLITS'!C75,'5 Year Supply Plan'!BE:BE)</f>
        <v>647</v>
      </c>
      <c r="DA75" s="35">
        <f t="shared" si="111"/>
        <v>647</v>
      </c>
      <c r="DB75" s="35">
        <f>SUMIF('5 Year Supply Plan'!A:A,'JZ_BRAND SPLITS'!C75,'5 Year Supply Plan'!BF:BF)</f>
        <v>1065</v>
      </c>
      <c r="DC75" s="35">
        <f t="shared" si="112"/>
        <v>1065</v>
      </c>
      <c r="DD75" s="35">
        <f>SUMIF('5 Year Supply Plan'!A:A,'JZ_BRAND SPLITS'!C75,'5 Year Supply Plan'!BG:BG)</f>
        <v>1054</v>
      </c>
      <c r="DE75" s="35">
        <f t="shared" si="113"/>
        <v>1054</v>
      </c>
      <c r="DF75" s="35">
        <f>SUMIF('5 Year Supply Plan'!A:A,'JZ_BRAND SPLITS'!C75,'5 Year Supply Plan'!BH:BH)</f>
        <v>1086</v>
      </c>
      <c r="DG75" s="35">
        <f t="shared" si="114"/>
        <v>1086</v>
      </c>
      <c r="DH75" s="35">
        <f>SUMIF('5 Year Supply Plan'!A:A,'JZ_BRAND SPLITS'!C75,'5 Year Supply Plan'!BI:BI)</f>
        <v>347</v>
      </c>
      <c r="DI75" s="35">
        <f t="shared" si="115"/>
        <v>347</v>
      </c>
      <c r="DJ75" s="35">
        <f>SUMIF('5 Year Supply Plan'!A:A,'JZ_BRAND SPLITS'!C75,'5 Year Supply Plan'!BJ:BJ)</f>
        <v>295</v>
      </c>
      <c r="DK75" s="35">
        <f t="shared" si="116"/>
        <v>295</v>
      </c>
      <c r="DL75" s="35">
        <f>SUMIF('5 Year Supply Plan'!A:A,'JZ_BRAND SPLITS'!C75,'5 Year Supply Plan'!BK:BK)</f>
        <v>286</v>
      </c>
      <c r="DM75" s="35">
        <f t="shared" si="117"/>
        <v>286</v>
      </c>
      <c r="DN75" s="42">
        <f>SUMIF('5 Year Supply Plan'!A:A,'JZ_BRAND SPLITS'!C75,'5 Year Supply Plan'!BL:BL)</f>
        <v>445</v>
      </c>
      <c r="DO75" s="35">
        <f t="shared" si="118"/>
        <v>445</v>
      </c>
      <c r="DP75" s="35">
        <f>SUMIF('5 Year Supply Plan'!A:A,'JZ_BRAND SPLITS'!C75,'5 Year Supply Plan'!BM:BM)</f>
        <v>689.625</v>
      </c>
      <c r="DQ75" s="35">
        <f t="shared" si="119"/>
        <v>689.625</v>
      </c>
      <c r="DR75" s="35">
        <f>SUMIF('5 Year Supply Plan'!A:A,'JZ_BRAND SPLITS'!C75,'5 Year Supply Plan'!BN:BN)</f>
        <v>689.625</v>
      </c>
      <c r="DS75" s="35">
        <f t="shared" si="120"/>
        <v>689.625</v>
      </c>
      <c r="DT75" s="39">
        <f t="shared" si="121"/>
        <v>29622.25</v>
      </c>
      <c r="DU75" s="36">
        <f>SUMIF('5 Year Supply Plan'!A:A,'JZ_BRAND SPLITS'!C75,'5 Year Supply Plan'!BO:BO)</f>
        <v>29622.25</v>
      </c>
    </row>
    <row r="76" spans="1:125" x14ac:dyDescent="0.25">
      <c r="A76" s="40" t="s">
        <v>299</v>
      </c>
      <c r="B76" s="40" t="s">
        <v>300</v>
      </c>
      <c r="C76" s="40" t="s">
        <v>77</v>
      </c>
      <c r="D76" s="40" t="str">
        <f t="shared" si="61"/>
        <v>V00EXOSEAL</v>
      </c>
      <c r="E76" s="41">
        <v>1</v>
      </c>
      <c r="F76" s="35">
        <f>SUMIF('5 Year Supply Plan'!A:A,'JZ_BRAND SPLITS'!C76,'5 Year Supply Plan'!H:H)</f>
        <v>76000</v>
      </c>
      <c r="G76" s="35">
        <f t="shared" si="62"/>
        <v>76000</v>
      </c>
      <c r="H76" s="35">
        <f>SUMIF('5 Year Supply Plan'!A:A,'JZ_BRAND SPLITS'!C76,'5 Year Supply Plan'!I:I)</f>
        <v>97400</v>
      </c>
      <c r="I76" s="35">
        <f t="shared" si="63"/>
        <v>97400</v>
      </c>
      <c r="J76" s="35">
        <f>SUMIF('5 Year Supply Plan'!A:A,'JZ_BRAND SPLITS'!C76,'5 Year Supply Plan'!J:J)</f>
        <v>48000</v>
      </c>
      <c r="K76" s="35">
        <f t="shared" si="64"/>
        <v>48000</v>
      </c>
      <c r="L76" s="35">
        <f>SUMIF('5 Year Supply Plan'!A:A,'JZ_BRAND SPLITS'!C76,'5 Year Supply Plan'!K:K)</f>
        <v>55000</v>
      </c>
      <c r="M76" s="35">
        <f t="shared" si="65"/>
        <v>55000</v>
      </c>
      <c r="N76" s="35">
        <f>SUMIF('5 Year Supply Plan'!A:A,'JZ_BRAND SPLITS'!C76,'5 Year Supply Plan'!L:L)</f>
        <v>30000</v>
      </c>
      <c r="O76" s="35">
        <f t="shared" si="66"/>
        <v>30000</v>
      </c>
      <c r="P76" s="35">
        <f>SUMIF('5 Year Supply Plan'!A:A,'JZ_BRAND SPLITS'!C76,'5 Year Supply Plan'!M:M)</f>
        <v>50000</v>
      </c>
      <c r="Q76" s="35">
        <f t="shared" si="67"/>
        <v>50000</v>
      </c>
      <c r="R76" s="35">
        <f>SUMIF('5 Year Supply Plan'!A:A,'JZ_BRAND SPLITS'!C76,'5 Year Supply Plan'!N:N)</f>
        <v>50000</v>
      </c>
      <c r="S76" s="35">
        <f t="shared" si="68"/>
        <v>50000</v>
      </c>
      <c r="T76" s="35">
        <f>SUMIF('5 Year Supply Plan'!A:A,'JZ_BRAND SPLITS'!C76,'5 Year Supply Plan'!O:O)</f>
        <v>48000</v>
      </c>
      <c r="U76" s="35">
        <f t="shared" si="69"/>
        <v>48000</v>
      </c>
      <c r="V76" s="35">
        <f>SUMIF('5 Year Supply Plan'!A:A,'JZ_BRAND SPLITS'!C76,'5 Year Supply Plan'!P:P)</f>
        <v>48000</v>
      </c>
      <c r="W76" s="35">
        <f t="shared" si="70"/>
        <v>48000</v>
      </c>
      <c r="X76" s="35">
        <f>SUMIF('5 Year Supply Plan'!A:A,'JZ_BRAND SPLITS'!C76,'5 Year Supply Plan'!Q:Q)</f>
        <v>52878</v>
      </c>
      <c r="Y76" s="35">
        <f t="shared" si="71"/>
        <v>52878</v>
      </c>
      <c r="Z76" s="35">
        <f>SUMIF('5 Year Supply Plan'!A:A,'JZ_BRAND SPLITS'!C76,'5 Year Supply Plan'!R:R)</f>
        <v>49558</v>
      </c>
      <c r="AA76" s="35">
        <f t="shared" si="72"/>
        <v>49558</v>
      </c>
      <c r="AB76" s="35">
        <f>SUMIF('5 Year Supply Plan'!A:A,'JZ_BRAND SPLITS'!C76,'5 Year Supply Plan'!S:S)</f>
        <v>54451</v>
      </c>
      <c r="AC76" s="35">
        <f t="shared" si="73"/>
        <v>54451</v>
      </c>
      <c r="AD76" s="35">
        <f>SUMIF('5 Year Supply Plan'!A:A,'JZ_BRAND SPLITS'!C76,'5 Year Supply Plan'!T:T)</f>
        <v>53967</v>
      </c>
      <c r="AE76" s="35">
        <f t="shared" si="74"/>
        <v>53967</v>
      </c>
      <c r="AF76" s="35">
        <f>SUMIF('5 Year Supply Plan'!A:A,'JZ_BRAND SPLITS'!C76,'5 Year Supply Plan'!U:U)</f>
        <v>46098</v>
      </c>
      <c r="AG76" s="35">
        <f t="shared" si="75"/>
        <v>46098</v>
      </c>
      <c r="AH76" s="35">
        <f>SUMIF('5 Year Supply Plan'!A:A,'JZ_BRAND SPLITS'!C76,'5 Year Supply Plan'!V:V)</f>
        <v>46587</v>
      </c>
      <c r="AI76" s="35">
        <f t="shared" si="76"/>
        <v>46587</v>
      </c>
      <c r="AJ76" s="35">
        <f>SUMIF('5 Year Supply Plan'!A:A,'JZ_BRAND SPLITS'!C76,'5 Year Supply Plan'!W:W)</f>
        <v>47626</v>
      </c>
      <c r="AK76" s="35">
        <f t="shared" si="77"/>
        <v>47626</v>
      </c>
      <c r="AL76" s="35">
        <f>SUMIF('5 Year Supply Plan'!A:A,'JZ_BRAND SPLITS'!C76,'5 Year Supply Plan'!X:X)</f>
        <v>55789</v>
      </c>
      <c r="AM76" s="35">
        <f t="shared" si="78"/>
        <v>55789</v>
      </c>
      <c r="AN76" s="35">
        <f>SUMIF('5 Year Supply Plan'!A:A,'JZ_BRAND SPLITS'!C76,'5 Year Supply Plan'!Y:Y)</f>
        <v>54512</v>
      </c>
      <c r="AO76" s="35">
        <f t="shared" si="79"/>
        <v>54512</v>
      </c>
      <c r="AP76" s="35">
        <f>SUMIF('5 Year Supply Plan'!A:A,'JZ_BRAND SPLITS'!C76,'5 Year Supply Plan'!Z:Z)</f>
        <v>48432</v>
      </c>
      <c r="AQ76" s="35">
        <f t="shared" si="80"/>
        <v>48432</v>
      </c>
      <c r="AR76" s="35">
        <f>SUMIF('5 Year Supply Plan'!A:A,'JZ_BRAND SPLITS'!C76,'5 Year Supply Plan'!AA:AA)</f>
        <v>44859</v>
      </c>
      <c r="AS76" s="35">
        <f t="shared" si="81"/>
        <v>44859</v>
      </c>
      <c r="AT76" s="35">
        <f>SUMIF('5 Year Supply Plan'!A:A,'JZ_BRAND SPLITS'!C76,'5 Year Supply Plan'!AB:AB)</f>
        <v>46681</v>
      </c>
      <c r="AU76" s="35">
        <f t="shared" si="82"/>
        <v>46681</v>
      </c>
      <c r="AV76" s="35">
        <f>SUMIF('5 Year Supply Plan'!A:A,'JZ_BRAND SPLITS'!C76,'5 Year Supply Plan'!AC:AC)</f>
        <v>54375</v>
      </c>
      <c r="AW76" s="35">
        <f t="shared" si="83"/>
        <v>54375</v>
      </c>
      <c r="AX76" s="35">
        <f>SUMIF('5 Year Supply Plan'!A:A,'JZ_BRAND SPLITS'!C76,'5 Year Supply Plan'!AD:AD)</f>
        <v>50981</v>
      </c>
      <c r="AY76" s="35">
        <f t="shared" si="84"/>
        <v>50981</v>
      </c>
      <c r="AZ76" s="35">
        <f>SUMIF('5 Year Supply Plan'!A:A,'JZ_BRAND SPLITS'!C76,'5 Year Supply Plan'!AE:AE)</f>
        <v>55989</v>
      </c>
      <c r="BA76" s="35">
        <f t="shared" si="85"/>
        <v>55989</v>
      </c>
      <c r="BB76" s="35">
        <f>SUMIF('5 Year Supply Plan'!A:A,'JZ_BRAND SPLITS'!C76,'5 Year Supply Plan'!AF:AF)</f>
        <v>55484</v>
      </c>
      <c r="BC76" s="35">
        <f t="shared" si="86"/>
        <v>55484</v>
      </c>
      <c r="BD76" s="35">
        <f>SUMIF('5 Year Supply Plan'!A:A,'JZ_BRAND SPLITS'!C76,'5 Year Supply Plan'!AG:AG)</f>
        <v>47370</v>
      </c>
      <c r="BE76" s="35">
        <f t="shared" si="87"/>
        <v>47370</v>
      </c>
      <c r="BF76" s="35">
        <f>SUMIF('5 Year Supply Plan'!A:A,'JZ_BRAND SPLITS'!C76,'5 Year Supply Plan'!AH:AH)</f>
        <v>47842</v>
      </c>
      <c r="BG76" s="35">
        <f t="shared" si="88"/>
        <v>47842</v>
      </c>
      <c r="BH76" s="35">
        <f>SUMIF('5 Year Supply Plan'!A:A,'JZ_BRAND SPLITS'!C76,'5 Year Supply Plan'!AI:AI)</f>
        <v>48436</v>
      </c>
      <c r="BI76" s="35">
        <f t="shared" si="89"/>
        <v>48436</v>
      </c>
      <c r="BJ76" s="35">
        <f>SUMIF('5 Year Supply Plan'!A:A,'JZ_BRAND SPLITS'!C76,'5 Year Supply Plan'!AJ:AJ)</f>
        <v>55595</v>
      </c>
      <c r="BK76" s="35">
        <f t="shared" si="90"/>
        <v>55595</v>
      </c>
      <c r="BL76" s="35">
        <f>SUMIF('5 Year Supply Plan'!A:A,'JZ_BRAND SPLITS'!C76,'5 Year Supply Plan'!AK:AK)</f>
        <v>54481</v>
      </c>
      <c r="BM76" s="35">
        <f t="shared" si="91"/>
        <v>54481</v>
      </c>
      <c r="BN76" s="35">
        <f>SUMIF('5 Year Supply Plan'!A:A,'JZ_BRAND SPLITS'!C76,'5 Year Supply Plan'!AL:AL)</f>
        <v>50631</v>
      </c>
      <c r="BO76" s="35">
        <f t="shared" si="92"/>
        <v>50631</v>
      </c>
      <c r="BP76" s="35">
        <f>SUMIF('5 Year Supply Plan'!A:A,'JZ_BRAND SPLITS'!C76,'5 Year Supply Plan'!AM:AM)</f>
        <v>50121</v>
      </c>
      <c r="BQ76" s="35">
        <f t="shared" si="93"/>
        <v>50121</v>
      </c>
      <c r="BR76" s="35">
        <f>SUMIF('5 Year Supply Plan'!A:A,'JZ_BRAND SPLITS'!C76,'5 Year Supply Plan'!AN:AN)</f>
        <v>53908</v>
      </c>
      <c r="BS76" s="35">
        <f t="shared" si="94"/>
        <v>53908</v>
      </c>
      <c r="BT76" s="35">
        <f>SUMIF('5 Year Supply Plan'!A:A,'JZ_BRAND SPLITS'!C76,'5 Year Supply Plan'!AO:AO)</f>
        <v>63298</v>
      </c>
      <c r="BU76" s="35">
        <f t="shared" si="95"/>
        <v>63298</v>
      </c>
      <c r="BV76" s="35">
        <f>SUMIF('5 Year Supply Plan'!A:A,'JZ_BRAND SPLITS'!C76,'5 Year Supply Plan'!AP:AP)</f>
        <v>59338</v>
      </c>
      <c r="BW76" s="35">
        <f t="shared" si="96"/>
        <v>59338</v>
      </c>
      <c r="BX76" s="35">
        <f>SUMIF('5 Year Supply Plan'!A:A,'JZ_BRAND SPLITS'!C76,'5 Year Supply Plan'!AQ:AQ)</f>
        <v>65056</v>
      </c>
      <c r="BY76" s="35">
        <f t="shared" si="97"/>
        <v>65056</v>
      </c>
      <c r="BZ76" s="35">
        <f>SUMIF('5 Year Supply Plan'!A:A,'JZ_BRAND SPLITS'!C76,'5 Year Supply Plan'!AR:AR)</f>
        <v>64540</v>
      </c>
      <c r="CA76" s="35">
        <f t="shared" si="98"/>
        <v>64540</v>
      </c>
      <c r="CB76" s="35">
        <f>SUMIF('5 Year Supply Plan'!A:A,'JZ_BRAND SPLITS'!C76,'5 Year Supply Plan'!AS:AS)</f>
        <v>55057</v>
      </c>
      <c r="CC76" s="35">
        <f t="shared" si="99"/>
        <v>55057</v>
      </c>
      <c r="CD76" s="35">
        <f>SUMIF('5 Year Supply Plan'!A:A,'JZ_BRAND SPLITS'!C76,'5 Year Supply Plan'!AT:AT)</f>
        <v>55360</v>
      </c>
      <c r="CE76" s="35">
        <f t="shared" si="100"/>
        <v>55360</v>
      </c>
      <c r="CF76" s="35">
        <f>SUMIF('5 Year Supply Plan'!A:A,'JZ_BRAND SPLITS'!C76,'5 Year Supply Plan'!AU:AU)</f>
        <v>56114</v>
      </c>
      <c r="CG76" s="35">
        <f t="shared" si="101"/>
        <v>56114</v>
      </c>
      <c r="CH76" s="35">
        <f>SUMIF('5 Year Supply Plan'!A:A,'JZ_BRAND SPLITS'!C76,'5 Year Supply Plan'!AV:AV)</f>
        <v>64641</v>
      </c>
      <c r="CI76" s="35">
        <f t="shared" si="102"/>
        <v>64641</v>
      </c>
      <c r="CJ76" s="35">
        <f>SUMIF('5 Year Supply Plan'!A:A,'JZ_BRAND SPLITS'!C76,'5 Year Supply Plan'!AW:AW)</f>
        <v>63573</v>
      </c>
      <c r="CK76" s="35">
        <f t="shared" si="103"/>
        <v>63573</v>
      </c>
      <c r="CL76" s="35">
        <f>SUMIF('5 Year Supply Plan'!A:A,'JZ_BRAND SPLITS'!C76,'5 Year Supply Plan'!AX:AX)</f>
        <v>58381</v>
      </c>
      <c r="CM76" s="35">
        <f t="shared" si="104"/>
        <v>58381</v>
      </c>
      <c r="CN76" s="35">
        <f>SUMIF('5 Year Supply Plan'!A:A,'JZ_BRAND SPLITS'!C76,'5 Year Supply Plan'!AY:AY)</f>
        <v>55954</v>
      </c>
      <c r="CO76" s="35">
        <f t="shared" si="105"/>
        <v>55954</v>
      </c>
      <c r="CP76" s="35">
        <f>SUMIF('5 Year Supply Plan'!A:A,'JZ_BRAND SPLITS'!C76,'5 Year Supply Plan'!AZ:AZ)</f>
        <v>59317</v>
      </c>
      <c r="CQ76" s="35">
        <f t="shared" si="106"/>
        <v>59317</v>
      </c>
      <c r="CR76" s="35">
        <f>SUMIF('5 Year Supply Plan'!A:A,'JZ_BRAND SPLITS'!C76,'5 Year Supply Plan'!BA:BA)</f>
        <v>69748</v>
      </c>
      <c r="CS76" s="35">
        <f t="shared" si="107"/>
        <v>69748</v>
      </c>
      <c r="CT76" s="35">
        <f>SUMIF('5 Year Supply Plan'!A:A,'JZ_BRAND SPLITS'!C76,'5 Year Supply Plan'!BB:BB)</f>
        <v>65386</v>
      </c>
      <c r="CU76" s="35">
        <f t="shared" si="108"/>
        <v>65386</v>
      </c>
      <c r="CV76" s="35">
        <f>SUMIF('5 Year Supply Plan'!A:A,'JZ_BRAND SPLITS'!C76,'5 Year Supply Plan'!BC:BC)</f>
        <v>71647</v>
      </c>
      <c r="CW76" s="35">
        <f t="shared" si="109"/>
        <v>71647</v>
      </c>
      <c r="CX76" s="35">
        <f>SUMIF('5 Year Supply Plan'!A:A,'JZ_BRAND SPLITS'!C76,'5 Year Supply Plan'!BD:BD)</f>
        <v>71096</v>
      </c>
      <c r="CY76" s="35">
        <f t="shared" si="110"/>
        <v>71096</v>
      </c>
      <c r="CZ76" s="35">
        <f>SUMIF('5 Year Supply Plan'!A:A,'JZ_BRAND SPLITS'!C76,'5 Year Supply Plan'!BE:BE)</f>
        <v>60616</v>
      </c>
      <c r="DA76" s="35">
        <f t="shared" si="111"/>
        <v>60616</v>
      </c>
      <c r="DB76" s="35">
        <f>SUMIF('5 Year Supply Plan'!A:A,'JZ_BRAND SPLITS'!C76,'5 Year Supply Plan'!BF:BF)</f>
        <v>60838</v>
      </c>
      <c r="DC76" s="35">
        <f t="shared" si="112"/>
        <v>60838</v>
      </c>
      <c r="DD76" s="35">
        <f>SUMIF('5 Year Supply Plan'!A:A,'JZ_BRAND SPLITS'!C76,'5 Year Supply Plan'!BG:BG)</f>
        <v>61704</v>
      </c>
      <c r="DE76" s="35">
        <f t="shared" si="113"/>
        <v>61704</v>
      </c>
      <c r="DF76" s="35">
        <f>SUMIF('5 Year Supply Plan'!A:A,'JZ_BRAND SPLITS'!C76,'5 Year Supply Plan'!BH:BH)</f>
        <v>71006</v>
      </c>
      <c r="DG76" s="35">
        <f t="shared" si="114"/>
        <v>71006</v>
      </c>
      <c r="DH76" s="35">
        <f>SUMIF('5 Year Supply Plan'!A:A,'JZ_BRAND SPLITS'!C76,'5 Year Supply Plan'!BI:BI)</f>
        <v>71662</v>
      </c>
      <c r="DI76" s="35">
        <f t="shared" si="115"/>
        <v>71662</v>
      </c>
      <c r="DJ76" s="35">
        <f>SUMIF('5 Year Supply Plan'!A:A,'JZ_BRAND SPLITS'!C76,'5 Year Supply Plan'!BJ:BJ)</f>
        <v>67328</v>
      </c>
      <c r="DK76" s="35">
        <f t="shared" si="116"/>
        <v>67328</v>
      </c>
      <c r="DL76" s="35">
        <f>SUMIF('5 Year Supply Plan'!A:A,'JZ_BRAND SPLITS'!C76,'5 Year Supply Plan'!BK:BK)</f>
        <v>61799</v>
      </c>
      <c r="DM76" s="35">
        <f t="shared" si="117"/>
        <v>61799</v>
      </c>
      <c r="DN76" s="42">
        <f>SUMIF('5 Year Supply Plan'!A:A,'JZ_BRAND SPLITS'!C76,'5 Year Supply Plan'!BL:BL)</f>
        <v>62467</v>
      </c>
      <c r="DO76" s="35">
        <f t="shared" si="118"/>
        <v>62467</v>
      </c>
      <c r="DP76" s="35">
        <f>SUMIF('5 Year Supply Plan'!A:A,'JZ_BRAND SPLITS'!C76,'5 Year Supply Plan'!BM:BM)</f>
        <v>65756.125</v>
      </c>
      <c r="DQ76" s="35">
        <f t="shared" si="119"/>
        <v>65756.125</v>
      </c>
      <c r="DR76" s="35">
        <f>SUMIF('5 Year Supply Plan'!A:A,'JZ_BRAND SPLITS'!C76,'5 Year Supply Plan'!BN:BN)</f>
        <v>65756.125</v>
      </c>
      <c r="DS76" s="35">
        <f t="shared" si="120"/>
        <v>65756.125</v>
      </c>
      <c r="DT76" s="39">
        <f t="shared" si="121"/>
        <v>3376489.25</v>
      </c>
      <c r="DU76" s="36">
        <f>SUMIF('5 Year Supply Plan'!A:A,'JZ_BRAND SPLITS'!C76,'5 Year Supply Plan'!BO:BO)</f>
        <v>3376489.25</v>
      </c>
    </row>
    <row r="77" spans="1:125" x14ac:dyDescent="0.25">
      <c r="A77" s="40" t="s">
        <v>301</v>
      </c>
      <c r="B77" s="40" t="s">
        <v>302</v>
      </c>
      <c r="C77" s="40" t="s">
        <v>89</v>
      </c>
      <c r="D77" s="40" t="str">
        <f t="shared" si="61"/>
        <v>X00OUTBACK ELITE</v>
      </c>
      <c r="E77" s="41">
        <v>1</v>
      </c>
      <c r="F77" s="35">
        <f>SUMIF('5 Year Supply Plan'!A:A,'JZ_BRAND SPLITS'!C77,'5 Year Supply Plan'!H:H)</f>
        <v>700</v>
      </c>
      <c r="G77" s="35">
        <f t="shared" si="62"/>
        <v>700</v>
      </c>
      <c r="H77" s="35">
        <f>SUMIF('5 Year Supply Plan'!A:A,'JZ_BRAND SPLITS'!C77,'5 Year Supply Plan'!I:I)</f>
        <v>960</v>
      </c>
      <c r="I77" s="35">
        <f t="shared" si="63"/>
        <v>960</v>
      </c>
      <c r="J77" s="35">
        <f>SUMIF('5 Year Supply Plan'!A:A,'JZ_BRAND SPLITS'!C77,'5 Year Supply Plan'!J:J)</f>
        <v>800</v>
      </c>
      <c r="K77" s="35">
        <f t="shared" si="64"/>
        <v>800</v>
      </c>
      <c r="L77" s="35">
        <f>SUMIF('5 Year Supply Plan'!A:A,'JZ_BRAND SPLITS'!C77,'5 Year Supply Plan'!K:K)</f>
        <v>463</v>
      </c>
      <c r="M77" s="35">
        <f t="shared" si="65"/>
        <v>463</v>
      </c>
      <c r="N77" s="35">
        <f>SUMIF('5 Year Supply Plan'!A:A,'JZ_BRAND SPLITS'!C77,'5 Year Supply Plan'!L:L)</f>
        <v>250</v>
      </c>
      <c r="O77" s="35">
        <f t="shared" si="66"/>
        <v>250</v>
      </c>
      <c r="P77" s="35">
        <f>SUMIF('5 Year Supply Plan'!A:A,'JZ_BRAND SPLITS'!C77,'5 Year Supply Plan'!M:M)</f>
        <v>463</v>
      </c>
      <c r="Q77" s="35">
        <f t="shared" si="67"/>
        <v>463</v>
      </c>
      <c r="R77" s="35">
        <f>SUMIF('5 Year Supply Plan'!A:A,'JZ_BRAND SPLITS'!C77,'5 Year Supply Plan'!N:N)</f>
        <v>467</v>
      </c>
      <c r="S77" s="35">
        <f t="shared" si="68"/>
        <v>467</v>
      </c>
      <c r="T77" s="35">
        <f>SUMIF('5 Year Supply Plan'!A:A,'JZ_BRAND SPLITS'!C77,'5 Year Supply Plan'!O:O)</f>
        <v>472</v>
      </c>
      <c r="U77" s="35">
        <f t="shared" si="69"/>
        <v>472</v>
      </c>
      <c r="V77" s="35">
        <f>SUMIF('5 Year Supply Plan'!A:A,'JZ_BRAND SPLITS'!C77,'5 Year Supply Plan'!P:P)</f>
        <v>476</v>
      </c>
      <c r="W77" s="35">
        <f t="shared" si="70"/>
        <v>476</v>
      </c>
      <c r="X77" s="35">
        <f>SUMIF('5 Year Supply Plan'!A:A,'JZ_BRAND SPLITS'!C77,'5 Year Supply Plan'!Q:Q)</f>
        <v>488</v>
      </c>
      <c r="Y77" s="35">
        <f t="shared" si="71"/>
        <v>488</v>
      </c>
      <c r="Z77" s="35">
        <f>SUMIF('5 Year Supply Plan'!A:A,'JZ_BRAND SPLITS'!C77,'5 Year Supply Plan'!R:R)</f>
        <v>461</v>
      </c>
      <c r="AA77" s="35">
        <f t="shared" si="72"/>
        <v>461</v>
      </c>
      <c r="AB77" s="35">
        <f>SUMIF('5 Year Supply Plan'!A:A,'JZ_BRAND SPLITS'!C77,'5 Year Supply Plan'!S:S)</f>
        <v>565</v>
      </c>
      <c r="AC77" s="35">
        <f t="shared" si="73"/>
        <v>565</v>
      </c>
      <c r="AD77" s="35">
        <f>SUMIF('5 Year Supply Plan'!A:A,'JZ_BRAND SPLITS'!C77,'5 Year Supply Plan'!T:T)</f>
        <v>570</v>
      </c>
      <c r="AE77" s="35">
        <f t="shared" si="74"/>
        <v>570</v>
      </c>
      <c r="AF77" s="35">
        <f>SUMIF('5 Year Supply Plan'!A:A,'JZ_BRAND SPLITS'!C77,'5 Year Supply Plan'!U:U)</f>
        <v>507</v>
      </c>
      <c r="AG77" s="35">
        <f t="shared" si="75"/>
        <v>507</v>
      </c>
      <c r="AH77" s="35">
        <f>SUMIF('5 Year Supply Plan'!A:A,'JZ_BRAND SPLITS'!C77,'5 Year Supply Plan'!V:V)</f>
        <v>553</v>
      </c>
      <c r="AI77" s="35">
        <f t="shared" si="76"/>
        <v>553</v>
      </c>
      <c r="AJ77" s="35">
        <f>SUMIF('5 Year Supply Plan'!A:A,'JZ_BRAND SPLITS'!C77,'5 Year Supply Plan'!W:W)</f>
        <v>540</v>
      </c>
      <c r="AK77" s="35">
        <f t="shared" si="77"/>
        <v>540</v>
      </c>
      <c r="AL77" s="35">
        <f>SUMIF('5 Year Supply Plan'!A:A,'JZ_BRAND SPLITS'!C77,'5 Year Supply Plan'!X:X)</f>
        <v>576</v>
      </c>
      <c r="AM77" s="35">
        <f t="shared" si="78"/>
        <v>576</v>
      </c>
      <c r="AN77" s="35">
        <f>SUMIF('5 Year Supply Plan'!A:A,'JZ_BRAND SPLITS'!C77,'5 Year Supply Plan'!Y:Y)</f>
        <v>547</v>
      </c>
      <c r="AO77" s="35">
        <f t="shared" si="79"/>
        <v>547</v>
      </c>
      <c r="AP77" s="35">
        <f>SUMIF('5 Year Supply Plan'!A:A,'JZ_BRAND SPLITS'!C77,'5 Year Supply Plan'!Z:Z)</f>
        <v>510</v>
      </c>
      <c r="AQ77" s="35">
        <f t="shared" si="80"/>
        <v>510</v>
      </c>
      <c r="AR77" s="35">
        <f>SUMIF('5 Year Supply Plan'!A:A,'JZ_BRAND SPLITS'!C77,'5 Year Supply Plan'!AA:AA)</f>
        <v>513</v>
      </c>
      <c r="AS77" s="35">
        <f t="shared" si="81"/>
        <v>513</v>
      </c>
      <c r="AT77" s="35">
        <f>SUMIF('5 Year Supply Plan'!A:A,'JZ_BRAND SPLITS'!C77,'5 Year Supply Plan'!AB:AB)</f>
        <v>507</v>
      </c>
      <c r="AU77" s="35">
        <f t="shared" si="82"/>
        <v>507</v>
      </c>
      <c r="AV77" s="35">
        <f>SUMIF('5 Year Supply Plan'!A:A,'JZ_BRAND SPLITS'!C77,'5 Year Supply Plan'!AC:AC)</f>
        <v>482</v>
      </c>
      <c r="AW77" s="35">
        <f t="shared" si="83"/>
        <v>482</v>
      </c>
      <c r="AX77" s="35">
        <f>SUMIF('5 Year Supply Plan'!A:A,'JZ_BRAND SPLITS'!C77,'5 Year Supply Plan'!AD:AD)</f>
        <v>454</v>
      </c>
      <c r="AY77" s="35">
        <f t="shared" si="84"/>
        <v>454</v>
      </c>
      <c r="AZ77" s="35">
        <f>SUMIF('5 Year Supply Plan'!A:A,'JZ_BRAND SPLITS'!C77,'5 Year Supply Plan'!AE:AE)</f>
        <v>558</v>
      </c>
      <c r="BA77" s="35">
        <f t="shared" si="85"/>
        <v>558</v>
      </c>
      <c r="BB77" s="35">
        <f>SUMIF('5 Year Supply Plan'!A:A,'JZ_BRAND SPLITS'!C77,'5 Year Supply Plan'!AF:AF)</f>
        <v>561</v>
      </c>
      <c r="BC77" s="35">
        <f t="shared" si="86"/>
        <v>561</v>
      </c>
      <c r="BD77" s="35">
        <f>SUMIF('5 Year Supply Plan'!A:A,'JZ_BRAND SPLITS'!C77,'5 Year Supply Plan'!AG:AG)</f>
        <v>494</v>
      </c>
      <c r="BE77" s="35">
        <f t="shared" si="87"/>
        <v>494</v>
      </c>
      <c r="BF77" s="35">
        <f>SUMIF('5 Year Supply Plan'!A:A,'JZ_BRAND SPLITS'!C77,'5 Year Supply Plan'!AH:AH)</f>
        <v>543</v>
      </c>
      <c r="BG77" s="35">
        <f t="shared" si="88"/>
        <v>543</v>
      </c>
      <c r="BH77" s="35">
        <f>SUMIF('5 Year Supply Plan'!A:A,'JZ_BRAND SPLITS'!C77,'5 Year Supply Plan'!AI:AI)</f>
        <v>531</v>
      </c>
      <c r="BI77" s="35">
        <f t="shared" si="89"/>
        <v>531</v>
      </c>
      <c r="BJ77" s="35">
        <f>SUMIF('5 Year Supply Plan'!A:A,'JZ_BRAND SPLITS'!C77,'5 Year Supply Plan'!AJ:AJ)</f>
        <v>565</v>
      </c>
      <c r="BK77" s="35">
        <f t="shared" si="90"/>
        <v>565</v>
      </c>
      <c r="BL77" s="35">
        <f>SUMIF('5 Year Supply Plan'!A:A,'JZ_BRAND SPLITS'!C77,'5 Year Supply Plan'!AK:AK)</f>
        <v>535</v>
      </c>
      <c r="BM77" s="35">
        <f t="shared" si="91"/>
        <v>535</v>
      </c>
      <c r="BN77" s="35">
        <f>SUMIF('5 Year Supply Plan'!A:A,'JZ_BRAND SPLITS'!C77,'5 Year Supply Plan'!AL:AL)</f>
        <v>490</v>
      </c>
      <c r="BO77" s="35">
        <f t="shared" si="92"/>
        <v>490</v>
      </c>
      <c r="BP77" s="35">
        <f>SUMIF('5 Year Supply Plan'!A:A,'JZ_BRAND SPLITS'!C77,'5 Year Supply Plan'!AM:AM)</f>
        <v>493</v>
      </c>
      <c r="BQ77" s="35">
        <f t="shared" si="93"/>
        <v>493</v>
      </c>
      <c r="BR77" s="35">
        <f>SUMIF('5 Year Supply Plan'!A:A,'JZ_BRAND SPLITS'!C77,'5 Year Supply Plan'!AN:AN)</f>
        <v>500</v>
      </c>
      <c r="BS77" s="35">
        <f t="shared" si="94"/>
        <v>500</v>
      </c>
      <c r="BT77" s="35">
        <f>SUMIF('5 Year Supply Plan'!A:A,'JZ_BRAND SPLITS'!C77,'5 Year Supply Plan'!AO:AO)</f>
        <v>485</v>
      </c>
      <c r="BU77" s="35">
        <f t="shared" si="95"/>
        <v>485</v>
      </c>
      <c r="BV77" s="35">
        <f>SUMIF('5 Year Supply Plan'!A:A,'JZ_BRAND SPLITS'!C77,'5 Year Supply Plan'!AP:AP)</f>
        <v>450</v>
      </c>
      <c r="BW77" s="35">
        <f t="shared" si="96"/>
        <v>450</v>
      </c>
      <c r="BX77" s="35">
        <f>SUMIF('5 Year Supply Plan'!A:A,'JZ_BRAND SPLITS'!C77,'5 Year Supply Plan'!AQ:AQ)</f>
        <v>534</v>
      </c>
      <c r="BY77" s="35">
        <f t="shared" si="97"/>
        <v>534</v>
      </c>
      <c r="BZ77" s="35">
        <f>SUMIF('5 Year Supply Plan'!A:A,'JZ_BRAND SPLITS'!C77,'5 Year Supply Plan'!AR:AR)</f>
        <v>530</v>
      </c>
      <c r="CA77" s="35">
        <f t="shared" si="98"/>
        <v>530</v>
      </c>
      <c r="CB77" s="35">
        <f>SUMIF('5 Year Supply Plan'!A:A,'JZ_BRAND SPLITS'!C77,'5 Year Supply Plan'!AS:AS)</f>
        <v>468</v>
      </c>
      <c r="CC77" s="35">
        <f t="shared" si="99"/>
        <v>468</v>
      </c>
      <c r="CD77" s="35">
        <f>SUMIF('5 Year Supply Plan'!A:A,'JZ_BRAND SPLITS'!C77,'5 Year Supply Plan'!AT:AT)</f>
        <v>510</v>
      </c>
      <c r="CE77" s="35">
        <f t="shared" si="100"/>
        <v>510</v>
      </c>
      <c r="CF77" s="35">
        <f>SUMIF('5 Year Supply Plan'!A:A,'JZ_BRAND SPLITS'!C77,'5 Year Supply Plan'!AU:AU)</f>
        <v>506</v>
      </c>
      <c r="CG77" s="35">
        <f t="shared" si="101"/>
        <v>506</v>
      </c>
      <c r="CH77" s="35">
        <f>SUMIF('5 Year Supply Plan'!A:A,'JZ_BRAND SPLITS'!C77,'5 Year Supply Plan'!AV:AV)</f>
        <v>557</v>
      </c>
      <c r="CI77" s="35">
        <f t="shared" si="102"/>
        <v>557</v>
      </c>
      <c r="CJ77" s="35">
        <f>SUMIF('5 Year Supply Plan'!A:A,'JZ_BRAND SPLITS'!C77,'5 Year Supply Plan'!AW:AW)</f>
        <v>531</v>
      </c>
      <c r="CK77" s="35">
        <f t="shared" si="103"/>
        <v>531</v>
      </c>
      <c r="CL77" s="35">
        <f>SUMIF('5 Year Supply Plan'!A:A,'JZ_BRAND SPLITS'!C77,'5 Year Supply Plan'!AX:AX)</f>
        <v>489</v>
      </c>
      <c r="CM77" s="35">
        <f t="shared" si="104"/>
        <v>489</v>
      </c>
      <c r="CN77" s="35">
        <f>SUMIF('5 Year Supply Plan'!A:A,'JZ_BRAND SPLITS'!C77,'5 Year Supply Plan'!AY:AY)</f>
        <v>493</v>
      </c>
      <c r="CO77" s="35">
        <f t="shared" si="105"/>
        <v>493</v>
      </c>
      <c r="CP77" s="35">
        <f>SUMIF('5 Year Supply Plan'!A:A,'JZ_BRAND SPLITS'!C77,'5 Year Supply Plan'!AZ:AZ)</f>
        <v>498</v>
      </c>
      <c r="CQ77" s="35">
        <f t="shared" si="106"/>
        <v>498</v>
      </c>
      <c r="CR77" s="35">
        <f>SUMIF('5 Year Supply Plan'!A:A,'JZ_BRAND SPLITS'!C77,'5 Year Supply Plan'!BA:BA)</f>
        <v>475</v>
      </c>
      <c r="CS77" s="35">
        <f t="shared" si="107"/>
        <v>475</v>
      </c>
      <c r="CT77" s="35">
        <f>SUMIF('5 Year Supply Plan'!A:A,'JZ_BRAND SPLITS'!C77,'5 Year Supply Plan'!BB:BB)</f>
        <v>430</v>
      </c>
      <c r="CU77" s="35">
        <f t="shared" si="108"/>
        <v>430</v>
      </c>
      <c r="CV77" s="35">
        <f>SUMIF('5 Year Supply Plan'!A:A,'JZ_BRAND SPLITS'!C77,'5 Year Supply Plan'!BC:BC)</f>
        <v>510</v>
      </c>
      <c r="CW77" s="35">
        <f t="shared" si="109"/>
        <v>510</v>
      </c>
      <c r="CX77" s="35">
        <f>SUMIF('5 Year Supply Plan'!A:A,'JZ_BRAND SPLITS'!C77,'5 Year Supply Plan'!BD:BD)</f>
        <v>504</v>
      </c>
      <c r="CY77" s="35">
        <f t="shared" si="110"/>
        <v>504</v>
      </c>
      <c r="CZ77" s="35">
        <f>SUMIF('5 Year Supply Plan'!A:A,'JZ_BRAND SPLITS'!C77,'5 Year Supply Plan'!BE:BE)</f>
        <v>450</v>
      </c>
      <c r="DA77" s="35">
        <f t="shared" si="111"/>
        <v>450</v>
      </c>
      <c r="DB77" s="35">
        <f>SUMIF('5 Year Supply Plan'!A:A,'JZ_BRAND SPLITS'!C77,'5 Year Supply Plan'!BF:BF)</f>
        <v>504</v>
      </c>
      <c r="DC77" s="35">
        <f t="shared" si="112"/>
        <v>504</v>
      </c>
      <c r="DD77" s="35">
        <f>SUMIF('5 Year Supply Plan'!A:A,'JZ_BRAND SPLITS'!C77,'5 Year Supply Plan'!BG:BG)</f>
        <v>502</v>
      </c>
      <c r="DE77" s="35">
        <f t="shared" si="113"/>
        <v>502</v>
      </c>
      <c r="DF77" s="35">
        <f>SUMIF('5 Year Supply Plan'!A:A,'JZ_BRAND SPLITS'!C77,'5 Year Supply Plan'!BH:BH)</f>
        <v>541</v>
      </c>
      <c r="DG77" s="35">
        <f t="shared" si="114"/>
        <v>541</v>
      </c>
      <c r="DH77" s="35">
        <f>SUMIF('5 Year Supply Plan'!A:A,'JZ_BRAND SPLITS'!C77,'5 Year Supply Plan'!BI:BI)</f>
        <v>508</v>
      </c>
      <c r="DI77" s="35">
        <f t="shared" si="115"/>
        <v>508</v>
      </c>
      <c r="DJ77" s="35">
        <f>SUMIF('5 Year Supply Plan'!A:A,'JZ_BRAND SPLITS'!C77,'5 Year Supply Plan'!BJ:BJ)</f>
        <v>503</v>
      </c>
      <c r="DK77" s="35">
        <f t="shared" si="116"/>
        <v>503</v>
      </c>
      <c r="DL77" s="35">
        <f>SUMIF('5 Year Supply Plan'!A:A,'JZ_BRAND SPLITS'!C77,'5 Year Supply Plan'!BK:BK)</f>
        <v>588</v>
      </c>
      <c r="DM77" s="35">
        <f t="shared" si="117"/>
        <v>588</v>
      </c>
      <c r="DN77" s="42">
        <f>SUMIF('5 Year Supply Plan'!A:A,'JZ_BRAND SPLITS'!C77,'5 Year Supply Plan'!BL:BL)</f>
        <v>666</v>
      </c>
      <c r="DO77" s="35">
        <f t="shared" si="118"/>
        <v>666</v>
      </c>
      <c r="DP77" s="35">
        <f>SUMIF('5 Year Supply Plan'!A:A,'JZ_BRAND SPLITS'!C77,'5 Year Supply Plan'!BM:BM)</f>
        <v>512.5</v>
      </c>
      <c r="DQ77" s="35">
        <f t="shared" si="119"/>
        <v>512.5</v>
      </c>
      <c r="DR77" s="35">
        <f>SUMIF('5 Year Supply Plan'!A:A,'JZ_BRAND SPLITS'!C77,'5 Year Supply Plan'!BN:BN)</f>
        <v>512.5</v>
      </c>
      <c r="DS77" s="35">
        <f t="shared" si="120"/>
        <v>512.5</v>
      </c>
      <c r="DT77" s="39">
        <f t="shared" si="121"/>
        <v>30851</v>
      </c>
      <c r="DU77" s="36">
        <f>SUMIF('5 Year Supply Plan'!A:A,'JZ_BRAND SPLITS'!C77,'5 Year Supply Plan'!BO:BO)</f>
        <v>30851</v>
      </c>
    </row>
    <row r="78" spans="1:125" x14ac:dyDescent="0.25">
      <c r="A78" s="48" t="s">
        <v>112</v>
      </c>
      <c r="B78" s="48" t="s">
        <v>112</v>
      </c>
      <c r="C78" s="48" t="s">
        <v>112</v>
      </c>
      <c r="D78" s="40" t="str">
        <f t="shared" si="61"/>
        <v>MYNXMYNX</v>
      </c>
      <c r="E78" s="41">
        <v>1</v>
      </c>
      <c r="F78" s="35">
        <f>SUMIF('5 Year Supply Plan'!A:A,'JZ_BRAND SPLITS'!C78,'5 Year Supply Plan'!H:H)</f>
        <v>57080</v>
      </c>
      <c r="G78" s="35">
        <f t="shared" ref="G78:G79" si="122">F78*E78</f>
        <v>57080</v>
      </c>
      <c r="H78" s="35">
        <f>SUMIF('5 Year Supply Plan'!A:A,'JZ_BRAND SPLITS'!C78,'5 Year Supply Plan'!I:I)</f>
        <v>59443</v>
      </c>
      <c r="I78" s="35">
        <f t="shared" ref="I78:I79" si="123">H78*E78</f>
        <v>59443</v>
      </c>
      <c r="J78" s="35">
        <f>SUMIF('5 Year Supply Plan'!A:A,'JZ_BRAND SPLITS'!C78,'5 Year Supply Plan'!J:J)</f>
        <v>65731</v>
      </c>
      <c r="K78" s="35">
        <f t="shared" ref="K78:K79" si="124">J78*E78</f>
        <v>65731</v>
      </c>
      <c r="L78" s="35">
        <f>SUMIF('5 Year Supply Plan'!A:A,'JZ_BRAND SPLITS'!C78,'5 Year Supply Plan'!K:K)</f>
        <v>61433</v>
      </c>
      <c r="M78" s="35">
        <f t="shared" ref="M78:M79" si="125">L78*E78</f>
        <v>61433</v>
      </c>
      <c r="N78" s="35">
        <f>SUMIF('5 Year Supply Plan'!A:A,'JZ_BRAND SPLITS'!C78,'5 Year Supply Plan'!L:L)</f>
        <v>66468</v>
      </c>
      <c r="O78" s="35">
        <f t="shared" ref="O78:O79" si="126">N78*E78</f>
        <v>66468</v>
      </c>
      <c r="P78" s="35">
        <f>SUMIF('5 Year Supply Plan'!A:A,'JZ_BRAND SPLITS'!C78,'5 Year Supply Plan'!M:M)</f>
        <v>68995</v>
      </c>
      <c r="Q78" s="35">
        <f t="shared" ref="Q78:Q79" si="127">P78*E78</f>
        <v>68995</v>
      </c>
      <c r="R78" s="35">
        <f>SUMIF('5 Year Supply Plan'!A:A,'JZ_BRAND SPLITS'!C78,'5 Year Supply Plan'!N:N)</f>
        <v>72994</v>
      </c>
      <c r="S78" s="35">
        <f t="shared" ref="S78:S79" si="128">R78*E78</f>
        <v>72994</v>
      </c>
      <c r="T78" s="35">
        <f>SUMIF('5 Year Supply Plan'!A:A,'JZ_BRAND SPLITS'!C78,'5 Year Supply Plan'!O:O)</f>
        <v>67873</v>
      </c>
      <c r="U78" s="35">
        <f t="shared" ref="U78:U79" si="129">T78*E78</f>
        <v>67873</v>
      </c>
      <c r="V78" s="35">
        <f>SUMIF('5 Year Supply Plan'!A:A,'JZ_BRAND SPLITS'!C78,'5 Year Supply Plan'!P:P)</f>
        <v>72596</v>
      </c>
      <c r="W78" s="35">
        <f t="shared" ref="W78:W79" si="130">V78*E78</f>
        <v>72596</v>
      </c>
      <c r="X78" s="35">
        <f>SUMIF('5 Year Supply Plan'!A:A,'JZ_BRAND SPLITS'!C78,'5 Year Supply Plan'!Q:Q)</f>
        <v>83817</v>
      </c>
      <c r="Y78" s="35">
        <f t="shared" ref="Y78:Y79" si="131">X78*E78</f>
        <v>83817</v>
      </c>
      <c r="Z78" s="35">
        <f>SUMIF('5 Year Supply Plan'!A:A,'JZ_BRAND SPLITS'!C78,'5 Year Supply Plan'!R:R)</f>
        <v>67500</v>
      </c>
      <c r="AA78" s="35">
        <f t="shared" ref="AA78:AA79" si="132">Z78*E78</f>
        <v>67500</v>
      </c>
      <c r="AB78" s="35">
        <f>SUMIF('5 Year Supply Plan'!A:A,'JZ_BRAND SPLITS'!C78,'5 Year Supply Plan'!S:S)</f>
        <v>71092</v>
      </c>
      <c r="AC78" s="35">
        <f t="shared" ref="AC78:AC79" si="133">AB78*E78</f>
        <v>71092</v>
      </c>
      <c r="AD78" s="35">
        <f>SUMIF('5 Year Supply Plan'!A:A,'JZ_BRAND SPLITS'!C78,'5 Year Supply Plan'!T:T)</f>
        <v>78679</v>
      </c>
      <c r="AE78" s="35">
        <f t="shared" ref="AE78:AE79" si="134">AD78*E78</f>
        <v>78679</v>
      </c>
      <c r="AF78" s="35">
        <f>SUMIF('5 Year Supply Plan'!A:A,'JZ_BRAND SPLITS'!C78,'5 Year Supply Plan'!U:U)</f>
        <v>70345</v>
      </c>
      <c r="AG78" s="35">
        <f t="shared" ref="AG78:AG79" si="135">AF78*E78</f>
        <v>70345</v>
      </c>
      <c r="AH78" s="35">
        <f>SUMIF('5 Year Supply Plan'!A:A,'JZ_BRAND SPLITS'!C78,'5 Year Supply Plan'!V:V)</f>
        <v>79854</v>
      </c>
      <c r="AI78" s="35">
        <f t="shared" ref="AI78:AI79" si="136">AH78*E78</f>
        <v>79854</v>
      </c>
      <c r="AJ78" s="35">
        <f>SUMIF('5 Year Supply Plan'!A:A,'JZ_BRAND SPLITS'!C78,'5 Year Supply Plan'!W:W)</f>
        <v>67463</v>
      </c>
      <c r="AK78" s="35">
        <f t="shared" ref="AK78:AK79" si="137">E78*AJ78</f>
        <v>67463</v>
      </c>
      <c r="AL78" s="35">
        <f>SUMIF('5 Year Supply Plan'!A:A,'JZ_BRAND SPLITS'!C78,'5 Year Supply Plan'!X:X)</f>
        <v>73809</v>
      </c>
      <c r="AM78" s="35">
        <f t="shared" ref="AM78:AM79" si="138">AL78*E78</f>
        <v>73809</v>
      </c>
      <c r="AN78" s="35">
        <f>SUMIF('5 Year Supply Plan'!A:A,'JZ_BRAND SPLITS'!C78,'5 Year Supply Plan'!Y:Y)</f>
        <v>79060</v>
      </c>
      <c r="AO78" s="35">
        <f t="shared" ref="AO78:AO79" si="139">AN78*E78</f>
        <v>79060</v>
      </c>
      <c r="AP78" s="35">
        <f>SUMIF('5 Year Supply Plan'!A:A,'JZ_BRAND SPLITS'!C78,'5 Year Supply Plan'!Z:Z)</f>
        <v>72800</v>
      </c>
      <c r="AQ78" s="35">
        <f t="shared" ref="AQ78:AQ79" si="140">AP78*E78</f>
        <v>72800</v>
      </c>
      <c r="AR78" s="35">
        <f>SUMIF('5 Year Supply Plan'!A:A,'JZ_BRAND SPLITS'!C78,'5 Year Supply Plan'!AA:AA)</f>
        <v>67036</v>
      </c>
      <c r="AS78" s="35">
        <f t="shared" ref="AS78:AS79" si="141">AR78*E78</f>
        <v>67036</v>
      </c>
      <c r="AT78" s="35">
        <f>SUMIF('5 Year Supply Plan'!A:A,'JZ_BRAND SPLITS'!C78,'5 Year Supply Plan'!AB:AB)</f>
        <v>72061</v>
      </c>
      <c r="AU78" s="35">
        <f t="shared" ref="AU78:AU79" si="142">AT78*E78</f>
        <v>72061</v>
      </c>
      <c r="AV78" s="35">
        <f>SUMIF('5 Year Supply Plan'!A:A,'JZ_BRAND SPLITS'!C78,'5 Year Supply Plan'!AC:AC)</f>
        <v>83394</v>
      </c>
      <c r="AW78" s="35">
        <f t="shared" ref="AW78:AW79" si="143">AV78*E78</f>
        <v>83394</v>
      </c>
      <c r="AX78" s="35">
        <f>SUMIF('5 Year Supply Plan'!A:A,'JZ_BRAND SPLITS'!C78,'5 Year Supply Plan'!AD:AD)</f>
        <v>72522</v>
      </c>
      <c r="AY78" s="35">
        <f t="shared" ref="AY78:AY79" si="144">AX78*E78</f>
        <v>72522</v>
      </c>
      <c r="AZ78" s="35">
        <f>SUMIF('5 Year Supply Plan'!A:A,'JZ_BRAND SPLITS'!C78,'5 Year Supply Plan'!AE:AE)</f>
        <v>76922</v>
      </c>
      <c r="BA78" s="35">
        <f t="shared" ref="BA78:BA79" si="145">AZ78*E78</f>
        <v>76922</v>
      </c>
      <c r="BB78" s="35">
        <f>SUMIF('5 Year Supply Plan'!A:A,'JZ_BRAND SPLITS'!C78,'5 Year Supply Plan'!AF:AF)</f>
        <v>85129</v>
      </c>
      <c r="BC78" s="35">
        <f t="shared" ref="BC78:BC79" si="146">BB78*E78</f>
        <v>85129</v>
      </c>
      <c r="BD78" s="35">
        <f>SUMIF('5 Year Supply Plan'!A:A,'JZ_BRAND SPLITS'!C78,'5 Year Supply Plan'!AG:AG)</f>
        <v>76122</v>
      </c>
      <c r="BE78" s="35">
        <f t="shared" ref="BE78:BE79" si="147">BD78*E78</f>
        <v>76122</v>
      </c>
      <c r="BF78" s="35">
        <f>SUMIF('5 Year Supply Plan'!A:A,'JZ_BRAND SPLITS'!C78,'5 Year Supply Plan'!AH:AH)</f>
        <v>86438</v>
      </c>
      <c r="BG78" s="35">
        <f t="shared" ref="BG78:BG79" si="148">BF78*E78</f>
        <v>86438</v>
      </c>
      <c r="BH78" s="35">
        <f>SUMIF('5 Year Supply Plan'!A:A,'JZ_BRAND SPLITS'!C78,'5 Year Supply Plan'!AI:AI)</f>
        <v>73095</v>
      </c>
      <c r="BI78" s="35">
        <f t="shared" ref="BI78:BI79" si="149">BH78*E78</f>
        <v>73095</v>
      </c>
      <c r="BJ78" s="35">
        <f>SUMIF('5 Year Supply Plan'!A:A,'JZ_BRAND SPLITS'!C78,'5 Year Supply Plan'!AJ:AJ)</f>
        <v>79962</v>
      </c>
      <c r="BK78" s="35">
        <f t="shared" ref="BK78:BK79" si="150">BJ78*E78</f>
        <v>79962</v>
      </c>
      <c r="BL78" s="35">
        <f>SUMIF('5 Year Supply Plan'!A:A,'JZ_BRAND SPLITS'!C78,'5 Year Supply Plan'!AK:AK)</f>
        <v>85612</v>
      </c>
      <c r="BM78" s="35">
        <f t="shared" ref="BM78:BM79" si="151">BL78*E78</f>
        <v>85612</v>
      </c>
      <c r="BN78" s="35">
        <f>SUMIF('5 Year Supply Plan'!A:A,'JZ_BRAND SPLITS'!C78,'5 Year Supply Plan'!AL:AL)</f>
        <v>78849</v>
      </c>
      <c r="BO78" s="35">
        <f t="shared" ref="BO78:BO79" si="152">BN78*E78</f>
        <v>78849</v>
      </c>
      <c r="BP78" s="35">
        <f>SUMIF('5 Year Supply Plan'!A:A,'JZ_BRAND SPLITS'!C78,'5 Year Supply Plan'!AM:AM)</f>
        <v>72691</v>
      </c>
      <c r="BQ78" s="35">
        <f t="shared" ref="BQ78:BQ79" si="153">BP78*E78</f>
        <v>72691</v>
      </c>
      <c r="BR78" s="35">
        <f>SUMIF('5 Year Supply Plan'!A:A,'JZ_BRAND SPLITS'!C78,'5 Year Supply Plan'!AN:AN)</f>
        <v>77888</v>
      </c>
      <c r="BS78" s="35">
        <f t="shared" ref="BS78:BS79" si="154">BR78*E78</f>
        <v>77888</v>
      </c>
      <c r="BT78" s="35">
        <f>SUMIF('5 Year Supply Plan'!A:A,'JZ_BRAND SPLITS'!C78,'5 Year Supply Plan'!AO:AO)</f>
        <v>90021</v>
      </c>
      <c r="BU78" s="35">
        <f t="shared" ref="BU78:BU79" si="155">BT78*E78</f>
        <v>90021</v>
      </c>
      <c r="BV78" s="35">
        <f>SUMIF('5 Year Supply Plan'!A:A,'JZ_BRAND SPLITS'!C78,'5 Year Supply Plan'!AP:AP)</f>
        <v>77387</v>
      </c>
      <c r="BW78" s="35">
        <f t="shared" ref="BW78:BW79" si="156">BV78*E78</f>
        <v>77387</v>
      </c>
      <c r="BX78" s="35">
        <f>SUMIF('5 Year Supply Plan'!A:A,'JZ_BRAND SPLITS'!C78,'5 Year Supply Plan'!AQ:AQ)</f>
        <v>82018</v>
      </c>
      <c r="BY78" s="35">
        <f t="shared" ref="BY78:BY79" si="157">BX78*E78</f>
        <v>82018</v>
      </c>
      <c r="BZ78" s="35">
        <f>SUMIF('5 Year Supply Plan'!A:A,'JZ_BRAND SPLITS'!C78,'5 Year Supply Plan'!AR:AR)</f>
        <v>90752</v>
      </c>
      <c r="CA78" s="35">
        <f t="shared" ref="CA78:CA79" si="158">BZ78*E78</f>
        <v>90752</v>
      </c>
      <c r="CB78" s="35">
        <f>SUMIF('5 Year Supply Plan'!A:A,'JZ_BRAND SPLITS'!C78,'5 Year Supply Plan'!AS:AS)</f>
        <v>81170</v>
      </c>
      <c r="CC78" s="35">
        <f t="shared" ref="CC78:CC79" si="159">CB78*E78</f>
        <v>81170</v>
      </c>
      <c r="CD78" s="35">
        <f>SUMIF('5 Year Supply Plan'!A:A,'JZ_BRAND SPLITS'!C78,'5 Year Supply Plan'!AT:AT)</f>
        <v>92170</v>
      </c>
      <c r="CE78" s="35">
        <f t="shared" ref="CE78:CE79" si="160">CD78*E78</f>
        <v>92170</v>
      </c>
      <c r="CF78" s="35">
        <f>SUMIF('5 Year Supply Plan'!A:A,'JZ_BRAND SPLITS'!C78,'5 Year Supply Plan'!AU:AU)</f>
        <v>77998</v>
      </c>
      <c r="CG78" s="35">
        <f t="shared" ref="CG78:CG79" si="161">CF78*E78</f>
        <v>77998</v>
      </c>
      <c r="CH78" s="35">
        <f>SUMIF('5 Year Supply Plan'!A:A,'JZ_BRAND SPLITS'!C78,'5 Year Supply Plan'!AV:AV)</f>
        <v>85313</v>
      </c>
      <c r="CI78" s="35">
        <f t="shared" ref="CI78:CI79" si="162">CH78*E78</f>
        <v>85313</v>
      </c>
      <c r="CJ78" s="35">
        <f>SUMIF('5 Year Supply Plan'!A:A,'JZ_BRAND SPLITS'!C78,'5 Year Supply Plan'!AW:AW)</f>
        <v>91288</v>
      </c>
      <c r="CK78" s="35">
        <f t="shared" ref="CK78:CK79" si="163">CJ78*E78</f>
        <v>91288</v>
      </c>
      <c r="CL78" s="35">
        <f>SUMIF('5 Year Supply Plan'!A:A,'JZ_BRAND SPLITS'!C78,'5 Year Supply Plan'!AX:AX)</f>
        <v>84087</v>
      </c>
      <c r="CM78" s="35">
        <f t="shared" ref="CM78:CM79" si="164">CL78*E78</f>
        <v>84087</v>
      </c>
      <c r="CN78" s="35">
        <f>SUMIF('5 Year Supply Plan'!A:A,'JZ_BRAND SPLITS'!C78,'5 Year Supply Plan'!AY:AY)</f>
        <v>77625</v>
      </c>
      <c r="CO78" s="35">
        <f t="shared" ref="CO78:CO79" si="165">CN78*E78</f>
        <v>77625</v>
      </c>
      <c r="CP78" s="35">
        <f>SUMIF('5 Year Supply Plan'!A:A,'JZ_BRAND SPLITS'!C78,'5 Year Supply Plan'!AZ:AZ)</f>
        <v>82820</v>
      </c>
      <c r="CQ78" s="35">
        <f t="shared" ref="CQ78:CQ79" si="166">CP78*E78</f>
        <v>82820</v>
      </c>
      <c r="CR78" s="35">
        <f>SUMIF('5 Year Supply Plan'!A:A,'JZ_BRAND SPLITS'!C78,'5 Year Supply Plan'!BA:BA)</f>
        <v>95654</v>
      </c>
      <c r="CS78" s="35">
        <f t="shared" ref="CS78:CS79" si="167">CR78*E78</f>
        <v>95654</v>
      </c>
      <c r="CT78" s="35">
        <f>SUMIF('5 Year Supply Plan'!A:A,'JZ_BRAND SPLITS'!C78,'5 Year Supply Plan'!BB:BB)</f>
        <v>81964</v>
      </c>
      <c r="CU78" s="35">
        <f t="shared" ref="CU78:CU79" si="168">CT78*E78</f>
        <v>81964</v>
      </c>
      <c r="CV78" s="35">
        <f>SUMIF('5 Year Supply Plan'!A:A,'JZ_BRAND SPLITS'!C78,'5 Year Supply Plan'!BC:BC)</f>
        <v>86793</v>
      </c>
      <c r="CW78" s="35">
        <f t="shared" ref="CW78:CW79" si="169">CV78*E78</f>
        <v>86793</v>
      </c>
      <c r="CX78" s="35">
        <f>SUMIF('5 Year Supply Plan'!A:A,'JZ_BRAND SPLITS'!C78,'5 Year Supply Plan'!BD:BD)</f>
        <v>96051</v>
      </c>
      <c r="CY78" s="35">
        <f t="shared" ref="CY78:CY79" si="170">CX78*E78</f>
        <v>96051</v>
      </c>
      <c r="CZ78" s="35">
        <f>SUMIF('5 Year Supply Plan'!A:A,'JZ_BRAND SPLITS'!C78,'5 Year Supply Plan'!BE:BE)</f>
        <v>85902</v>
      </c>
      <c r="DA78" s="35">
        <f t="shared" ref="DA78:DA79" si="171">CZ78*E78</f>
        <v>85902</v>
      </c>
      <c r="DB78" s="35">
        <f>SUMIF('5 Year Supply Plan'!A:A,'JZ_BRAND SPLITS'!C78,'5 Year Supply Plan'!BF:BF)</f>
        <v>97565</v>
      </c>
      <c r="DC78" s="35">
        <f t="shared" ref="DC78:DC79" si="172">DB78*E78</f>
        <v>97565</v>
      </c>
      <c r="DD78" s="35">
        <f>SUMIF('5 Year Supply Plan'!A:A,'JZ_BRAND SPLITS'!C78,'5 Year Supply Plan'!BG:BG)</f>
        <v>82553</v>
      </c>
      <c r="DE78" s="35">
        <f t="shared" ref="DE78:DE79" si="173">DD78*E78</f>
        <v>82553</v>
      </c>
      <c r="DF78" s="35">
        <f>SUMIF('5 Year Supply Plan'!A:A,'JZ_BRAND SPLITS'!C78,'5 Year Supply Plan'!BH:BH)</f>
        <v>90287</v>
      </c>
      <c r="DG78" s="35">
        <f t="shared" ref="DG78:DG79" si="174">DF78*E78</f>
        <v>90287</v>
      </c>
      <c r="DH78" s="35">
        <f>SUMIF('5 Year Supply Plan'!A:A,'JZ_BRAND SPLITS'!C78,'5 Year Supply Plan'!BI:BI)</f>
        <v>96624</v>
      </c>
      <c r="DI78" s="35">
        <f t="shared" ref="DI78:DI79" si="175">DH78*E78</f>
        <v>96624</v>
      </c>
      <c r="DJ78" s="35">
        <f>SUMIF('5 Year Supply Plan'!A:A,'JZ_BRAND SPLITS'!C78,'5 Year Supply Plan'!BJ:BJ)</f>
        <v>89032</v>
      </c>
      <c r="DK78" s="35">
        <f t="shared" ref="DK78:DK79" si="176">DJ78*E78</f>
        <v>89032</v>
      </c>
      <c r="DL78" s="35">
        <f>SUMIF('5 Year Supply Plan'!A:A,'JZ_BRAND SPLITS'!C78,'5 Year Supply Plan'!BK:BK)</f>
        <v>82389</v>
      </c>
      <c r="DM78" s="35">
        <f t="shared" ref="DM78:DM79" si="177">DL78*E78</f>
        <v>82389</v>
      </c>
      <c r="DN78" s="42">
        <f>SUMIF('5 Year Supply Plan'!A:A,'JZ_BRAND SPLITS'!C78,'5 Year Supply Plan'!BL:BL)</f>
        <v>86457</v>
      </c>
      <c r="DO78" s="35">
        <f t="shared" ref="DO78:DO79" si="178">DN78*E78</f>
        <v>86457</v>
      </c>
      <c r="DP78" s="35">
        <f>SUMIF('5 Year Supply Plan'!A:A,'JZ_BRAND SPLITS'!C78,'5 Year Supply Plan'!BM:BM)</f>
        <v>90050.375</v>
      </c>
      <c r="DQ78" s="35">
        <f t="shared" ref="DQ78:DQ79" si="179">DP78*E78</f>
        <v>90050.375</v>
      </c>
      <c r="DR78" s="35">
        <f>SUMIF('5 Year Supply Plan'!A:A,'JZ_BRAND SPLITS'!C78,'5 Year Supply Plan'!BN:BN)</f>
        <v>90050.375</v>
      </c>
      <c r="DS78" s="35">
        <f t="shared" ref="DS78:DS79" si="180">DR78*E78</f>
        <v>90050.375</v>
      </c>
      <c r="DT78" s="39">
        <f t="shared" ref="DT78:DT79" si="181">DS78+DQ78+DO78+DM78+DK78+DI78+DG78+DE78+DC78+DA78+CY78+CW78+CU78+CS78+CQ78+CO78+CM78+CK78+CI78+CG78+CE78+CC78+CA78+BY78+BW78+BU78+BS78+BQ78+BO78+BM78+BK78+BI78+BG78+BE78+BC78+BA78+AY78+AW78+AU78+AS78+AQ78+AO78+AM78+AK78+AI78+AG78+AE78+AC78+AA78+Y78+W78+U78+S78+Q78+O78+M78+K78+I78+G78</f>
        <v>4688773.75</v>
      </c>
      <c r="DU78" s="36">
        <f>SUMIF('5 Year Supply Plan'!A:A,'JZ_BRAND SPLITS'!C78,'5 Year Supply Plan'!BO:BO)</f>
        <v>4688773.75</v>
      </c>
    </row>
    <row r="79" spans="1:125" x14ac:dyDescent="0.25">
      <c r="A79" s="47" t="s">
        <v>114</v>
      </c>
      <c r="B79" s="47" t="s">
        <v>112</v>
      </c>
      <c r="C79" s="47" t="s">
        <v>114</v>
      </c>
      <c r="D79" s="30" t="str">
        <f t="shared" si="61"/>
        <v>CONTROLCONTROL</v>
      </c>
      <c r="E79" s="41">
        <v>1</v>
      </c>
      <c r="F79" s="35">
        <f>SUMIF('5 Year Supply Plan'!A:A,'JZ_BRAND SPLITS'!C79,'5 Year Supply Plan'!H:H)</f>
        <v>39511</v>
      </c>
      <c r="G79" s="35">
        <f t="shared" si="122"/>
        <v>39511</v>
      </c>
      <c r="H79" s="35">
        <f>SUMIF('5 Year Supply Plan'!A:A,'JZ_BRAND SPLITS'!C79,'5 Year Supply Plan'!I:I)</f>
        <v>45157</v>
      </c>
      <c r="I79" s="35">
        <f t="shared" si="123"/>
        <v>45157</v>
      </c>
      <c r="J79" s="35">
        <f>SUMIF('5 Year Supply Plan'!A:A,'JZ_BRAND SPLITS'!C79,'5 Year Supply Plan'!J:J)</f>
        <v>48295</v>
      </c>
      <c r="K79" s="35">
        <f t="shared" si="124"/>
        <v>48295</v>
      </c>
      <c r="L79" s="35">
        <f>SUMIF('5 Year Supply Plan'!A:A,'JZ_BRAND SPLITS'!C79,'5 Year Supply Plan'!K:K)</f>
        <v>44511</v>
      </c>
      <c r="M79" s="35">
        <f t="shared" si="125"/>
        <v>44511</v>
      </c>
      <c r="N79" s="35">
        <f>SUMIF('5 Year Supply Plan'!A:A,'JZ_BRAND SPLITS'!C79,'5 Year Supply Plan'!L:L)</f>
        <v>46614</v>
      </c>
      <c r="O79" s="35">
        <f t="shared" si="126"/>
        <v>46614</v>
      </c>
      <c r="P79" s="35">
        <f>SUMIF('5 Year Supply Plan'!A:A,'JZ_BRAND SPLITS'!C79,'5 Year Supply Plan'!M:M)</f>
        <v>47073</v>
      </c>
      <c r="Q79" s="35">
        <f t="shared" si="127"/>
        <v>47073</v>
      </c>
      <c r="R79" s="35">
        <f>SUMIF('5 Year Supply Plan'!A:A,'JZ_BRAND SPLITS'!C79,'5 Year Supply Plan'!N:N)</f>
        <v>51261</v>
      </c>
      <c r="S79" s="35">
        <f t="shared" si="128"/>
        <v>51261</v>
      </c>
      <c r="T79" s="35">
        <f>SUMIF('5 Year Supply Plan'!A:A,'JZ_BRAND SPLITS'!C79,'5 Year Supply Plan'!O:O)</f>
        <v>47107</v>
      </c>
      <c r="U79" s="35">
        <f t="shared" si="129"/>
        <v>47107</v>
      </c>
      <c r="V79" s="35">
        <f>SUMIF('5 Year Supply Plan'!A:A,'JZ_BRAND SPLITS'!C79,'5 Year Supply Plan'!P:P)</f>
        <v>51759</v>
      </c>
      <c r="W79" s="35">
        <f t="shared" si="130"/>
        <v>51759</v>
      </c>
      <c r="X79" s="35">
        <f>SUMIF('5 Year Supply Plan'!A:A,'JZ_BRAND SPLITS'!C79,'5 Year Supply Plan'!Q:Q)</f>
        <v>58977</v>
      </c>
      <c r="Y79" s="35">
        <f t="shared" si="131"/>
        <v>58977</v>
      </c>
      <c r="Z79" s="35">
        <f>SUMIF('5 Year Supply Plan'!A:A,'JZ_BRAND SPLITS'!C79,'5 Year Supply Plan'!R:R)</f>
        <v>47322</v>
      </c>
      <c r="AA79" s="35">
        <f t="shared" si="132"/>
        <v>47322</v>
      </c>
      <c r="AB79" s="35">
        <f>SUMIF('5 Year Supply Plan'!A:A,'JZ_BRAND SPLITS'!C79,'5 Year Supply Plan'!S:S)</f>
        <v>48876</v>
      </c>
      <c r="AC79" s="35">
        <f t="shared" si="133"/>
        <v>48876</v>
      </c>
      <c r="AD79" s="35">
        <f>SUMIF('5 Year Supply Plan'!A:A,'JZ_BRAND SPLITS'!C79,'5 Year Supply Plan'!T:T)</f>
        <v>54375</v>
      </c>
      <c r="AE79" s="35">
        <f t="shared" si="134"/>
        <v>54375</v>
      </c>
      <c r="AF79" s="35">
        <f>SUMIF('5 Year Supply Plan'!A:A,'JZ_BRAND SPLITS'!C79,'5 Year Supply Plan'!U:U)</f>
        <v>49227</v>
      </c>
      <c r="AG79" s="35">
        <f t="shared" si="135"/>
        <v>49227</v>
      </c>
      <c r="AH79" s="35">
        <f>SUMIF('5 Year Supply Plan'!A:A,'JZ_BRAND SPLITS'!C79,'5 Year Supply Plan'!V:V)</f>
        <v>55544</v>
      </c>
      <c r="AI79" s="35">
        <f t="shared" si="136"/>
        <v>55544</v>
      </c>
      <c r="AJ79" s="35">
        <f>SUMIF('5 Year Supply Plan'!A:A,'JZ_BRAND SPLITS'!C79,'5 Year Supply Plan'!W:W)</f>
        <v>46305</v>
      </c>
      <c r="AK79" s="35">
        <f t="shared" si="137"/>
        <v>46305</v>
      </c>
      <c r="AL79" s="35">
        <f>SUMIF('5 Year Supply Plan'!A:A,'JZ_BRAND SPLITS'!C79,'5 Year Supply Plan'!X:X)</f>
        <v>51540</v>
      </c>
      <c r="AM79" s="35">
        <f t="shared" si="138"/>
        <v>51540</v>
      </c>
      <c r="AN79" s="35">
        <f>SUMIF('5 Year Supply Plan'!A:A,'JZ_BRAND SPLITS'!C79,'5 Year Supply Plan'!Y:Y)</f>
        <v>54747</v>
      </c>
      <c r="AO79" s="35">
        <f t="shared" si="139"/>
        <v>54747</v>
      </c>
      <c r="AP79" s="35">
        <f>SUMIF('5 Year Supply Plan'!A:A,'JZ_BRAND SPLITS'!C79,'5 Year Supply Plan'!Z:Z)</f>
        <v>50682</v>
      </c>
      <c r="AQ79" s="35">
        <f t="shared" si="140"/>
        <v>50682</v>
      </c>
      <c r="AR79" s="35">
        <f>SUMIF('5 Year Supply Plan'!A:A,'JZ_BRAND SPLITS'!C79,'5 Year Supply Plan'!AA:AA)</f>
        <v>45902</v>
      </c>
      <c r="AS79" s="35">
        <f t="shared" si="141"/>
        <v>45902</v>
      </c>
      <c r="AT79" s="35">
        <f>SUMIF('5 Year Supply Plan'!A:A,'JZ_BRAND SPLITS'!C79,'5 Year Supply Plan'!AB:AB)</f>
        <v>50854</v>
      </c>
      <c r="AU79" s="35">
        <f t="shared" si="142"/>
        <v>50854</v>
      </c>
      <c r="AV79" s="35">
        <f>SUMIF('5 Year Supply Plan'!A:A,'JZ_BRAND SPLITS'!C79,'5 Year Supply Plan'!AC:AC)</f>
        <v>58016</v>
      </c>
      <c r="AW79" s="35">
        <f t="shared" si="143"/>
        <v>58016</v>
      </c>
      <c r="AX79" s="35">
        <f>SUMIF('5 Year Supply Plan'!A:A,'JZ_BRAND SPLITS'!C79,'5 Year Supply Plan'!AD:AD)</f>
        <v>50613</v>
      </c>
      <c r="AY79" s="35">
        <f t="shared" si="144"/>
        <v>50613</v>
      </c>
      <c r="AZ79" s="35">
        <f>SUMIF('5 Year Supply Plan'!A:A,'JZ_BRAND SPLITS'!C79,'5 Year Supply Plan'!AE:AE)</f>
        <v>52798</v>
      </c>
      <c r="BA79" s="35">
        <f t="shared" si="145"/>
        <v>52798</v>
      </c>
      <c r="BB79" s="35">
        <f>SUMIF('5 Year Supply Plan'!A:A,'JZ_BRAND SPLITS'!C79,'5 Year Supply Plan'!AF:AF)</f>
        <v>58737</v>
      </c>
      <c r="BC79" s="35">
        <f t="shared" si="146"/>
        <v>58737</v>
      </c>
      <c r="BD79" s="35">
        <f>SUMIF('5 Year Supply Plan'!A:A,'JZ_BRAND SPLITS'!C79,'5 Year Supply Plan'!AG:AG)</f>
        <v>53191</v>
      </c>
      <c r="BE79" s="35">
        <f t="shared" si="147"/>
        <v>53191</v>
      </c>
      <c r="BF79" s="35">
        <f>SUMIF('5 Year Supply Plan'!A:A,'JZ_BRAND SPLITS'!C79,'5 Year Supply Plan'!AH:AH)</f>
        <v>60041</v>
      </c>
      <c r="BG79" s="35">
        <f t="shared" si="148"/>
        <v>60041</v>
      </c>
      <c r="BH79" s="35">
        <f>SUMIF('5 Year Supply Plan'!A:A,'JZ_BRAND SPLITS'!C79,'5 Year Supply Plan'!AI:AI)</f>
        <v>50120</v>
      </c>
      <c r="BI79" s="35">
        <f t="shared" si="149"/>
        <v>50120</v>
      </c>
      <c r="BJ79" s="35">
        <f>SUMIF('5 Year Supply Plan'!A:A,'JZ_BRAND SPLITS'!C79,'5 Year Supply Plan'!AJ:AJ)</f>
        <v>55781</v>
      </c>
      <c r="BK79" s="35">
        <f t="shared" si="150"/>
        <v>55781</v>
      </c>
      <c r="BL79" s="35">
        <f>SUMIF('5 Year Supply Plan'!A:A,'JZ_BRAND SPLITS'!C79,'5 Year Supply Plan'!AK:AK)</f>
        <v>59212</v>
      </c>
      <c r="BM79" s="35">
        <f t="shared" si="151"/>
        <v>59212</v>
      </c>
      <c r="BN79" s="35">
        <f>SUMIF('5 Year Supply Plan'!A:A,'JZ_BRAND SPLITS'!C79,'5 Year Supply Plan'!AL:AL)</f>
        <v>54832</v>
      </c>
      <c r="BO79" s="35">
        <f t="shared" si="152"/>
        <v>54832</v>
      </c>
      <c r="BP79" s="35">
        <f>SUMIF('5 Year Supply Plan'!A:A,'JZ_BRAND SPLITS'!C79,'5 Year Supply Plan'!AM:AM)</f>
        <v>49742</v>
      </c>
      <c r="BQ79" s="35">
        <f t="shared" si="153"/>
        <v>49742</v>
      </c>
      <c r="BR79" s="35">
        <f>SUMIF('5 Year Supply Plan'!A:A,'JZ_BRAND SPLITS'!C79,'5 Year Supply Plan'!AN:AN)</f>
        <v>54860</v>
      </c>
      <c r="BS79" s="35">
        <f t="shared" si="154"/>
        <v>54860</v>
      </c>
      <c r="BT79" s="35">
        <f>SUMIF('5 Year Supply Plan'!A:A,'JZ_BRAND SPLITS'!C79,'5 Year Supply Plan'!AO:AO)</f>
        <v>62507</v>
      </c>
      <c r="BU79" s="35">
        <f t="shared" si="155"/>
        <v>62507</v>
      </c>
      <c r="BV79" s="35">
        <f>SUMIF('5 Year Supply Plan'!A:A,'JZ_BRAND SPLITS'!C79,'5 Year Supply Plan'!AP:AP)</f>
        <v>54164</v>
      </c>
      <c r="BW79" s="35">
        <f t="shared" si="156"/>
        <v>54164</v>
      </c>
      <c r="BX79" s="35">
        <f>SUMIF('5 Year Supply Plan'!A:A,'JZ_BRAND SPLITS'!C79,'5 Year Supply Plan'!AQ:AQ)</f>
        <v>56447</v>
      </c>
      <c r="BY79" s="35">
        <f t="shared" si="157"/>
        <v>56447</v>
      </c>
      <c r="BZ79" s="35">
        <f>SUMIF('5 Year Supply Plan'!A:A,'JZ_BRAND SPLITS'!C79,'5 Year Supply Plan'!AR:AR)</f>
        <v>62776</v>
      </c>
      <c r="CA79" s="35">
        <f t="shared" si="158"/>
        <v>62776</v>
      </c>
      <c r="CB79" s="35">
        <f>SUMIF('5 Year Supply Plan'!A:A,'JZ_BRAND SPLITS'!C79,'5 Year Supply Plan'!AS:AS)</f>
        <v>56863</v>
      </c>
      <c r="CC79" s="35">
        <f t="shared" si="159"/>
        <v>56863</v>
      </c>
      <c r="CD79" s="35">
        <f>SUMIF('5 Year Supply Plan'!A:A,'JZ_BRAND SPLITS'!C79,'5 Year Supply Plan'!AT:AT)</f>
        <v>64189</v>
      </c>
      <c r="CE79" s="35">
        <f t="shared" si="160"/>
        <v>64189</v>
      </c>
      <c r="CF79" s="35">
        <f>SUMIF('5 Year Supply Plan'!A:A,'JZ_BRAND SPLITS'!C79,'5 Year Supply Plan'!AU:AU)</f>
        <v>53645</v>
      </c>
      <c r="CG79" s="35">
        <f t="shared" si="161"/>
        <v>53645</v>
      </c>
      <c r="CH79" s="35">
        <f>SUMIF('5 Year Supply Plan'!A:A,'JZ_BRAND SPLITS'!C79,'5 Year Supply Plan'!AV:AV)</f>
        <v>59681</v>
      </c>
      <c r="CI79" s="35">
        <f t="shared" si="162"/>
        <v>59681</v>
      </c>
      <c r="CJ79" s="35">
        <f>SUMIF('5 Year Supply Plan'!A:A,'JZ_BRAND SPLITS'!C79,'5 Year Supply Plan'!AW:AW)</f>
        <v>63304</v>
      </c>
      <c r="CK79" s="35">
        <f t="shared" si="163"/>
        <v>63304</v>
      </c>
      <c r="CL79" s="35">
        <f>SUMIF('5 Year Supply Plan'!A:A,'JZ_BRAND SPLITS'!C79,'5 Year Supply Plan'!AX:AX)</f>
        <v>58628</v>
      </c>
      <c r="CM79" s="35">
        <f t="shared" si="164"/>
        <v>58628</v>
      </c>
      <c r="CN79" s="35">
        <f>SUMIF('5 Year Supply Plan'!A:A,'JZ_BRAND SPLITS'!C79,'5 Year Supply Plan'!AY:AY)</f>
        <v>53299</v>
      </c>
      <c r="CO79" s="35">
        <f t="shared" si="165"/>
        <v>53299</v>
      </c>
      <c r="CP79" s="35">
        <f>SUMIF('5 Year Supply Plan'!A:A,'JZ_BRAND SPLITS'!C79,'5 Year Supply Plan'!AZ:AZ)</f>
        <v>58412</v>
      </c>
      <c r="CQ79" s="35">
        <f t="shared" si="166"/>
        <v>58412</v>
      </c>
      <c r="CR79" s="35">
        <f>SUMIF('5 Year Supply Plan'!A:A,'JZ_BRAND SPLITS'!C79,'5 Year Supply Plan'!BA:BA)</f>
        <v>66489</v>
      </c>
      <c r="CS79" s="35">
        <f t="shared" si="167"/>
        <v>66489</v>
      </c>
      <c r="CT79" s="35">
        <f>SUMIF('5 Year Supply Plan'!A:A,'JZ_BRAND SPLITS'!C79,'5 Year Supply Plan'!BB:BB)</f>
        <v>57346</v>
      </c>
      <c r="CU79" s="35">
        <f t="shared" si="168"/>
        <v>57346</v>
      </c>
      <c r="CV79" s="35">
        <f>SUMIF('5 Year Supply Plan'!A:A,'JZ_BRAND SPLITS'!C79,'5 Year Supply Plan'!BC:BC)</f>
        <v>59688</v>
      </c>
      <c r="CW79" s="35">
        <f t="shared" si="169"/>
        <v>59688</v>
      </c>
      <c r="CX79" s="35">
        <f>SUMIF('5 Year Supply Plan'!A:A,'JZ_BRAND SPLITS'!C79,'5 Year Supply Plan'!BD:BD)</f>
        <v>66397</v>
      </c>
      <c r="CY79" s="35">
        <f t="shared" si="170"/>
        <v>66397</v>
      </c>
      <c r="CZ79" s="35">
        <f>SUMIF('5 Year Supply Plan'!A:A,'JZ_BRAND SPLITS'!C79,'5 Year Supply Plan'!BE:BE)</f>
        <v>60137</v>
      </c>
      <c r="DA79" s="35">
        <f t="shared" si="171"/>
        <v>60137</v>
      </c>
      <c r="DB79" s="35">
        <f>SUMIF('5 Year Supply Plan'!A:A,'JZ_BRAND SPLITS'!C79,'5 Year Supply Plan'!BF:BF)</f>
        <v>67905</v>
      </c>
      <c r="DC79" s="35">
        <f t="shared" si="172"/>
        <v>67905</v>
      </c>
      <c r="DD79" s="35">
        <f>SUMIF('5 Year Supply Plan'!A:A,'JZ_BRAND SPLITS'!C79,'5 Year Supply Plan'!BG:BG)</f>
        <v>56738</v>
      </c>
      <c r="DE79" s="35">
        <f t="shared" si="173"/>
        <v>56738</v>
      </c>
      <c r="DF79" s="35">
        <f>SUMIF('5 Year Supply Plan'!A:A,'JZ_BRAND SPLITS'!C79,'5 Year Supply Plan'!BH:BH)</f>
        <v>63118</v>
      </c>
      <c r="DG79" s="35">
        <f t="shared" si="174"/>
        <v>63118</v>
      </c>
      <c r="DH79" s="35">
        <f>SUMIF('5 Year Supply Plan'!A:A,'JZ_BRAND SPLITS'!C79,'5 Year Supply Plan'!BI:BI)</f>
        <v>66960</v>
      </c>
      <c r="DI79" s="35">
        <f t="shared" si="175"/>
        <v>66960</v>
      </c>
      <c r="DJ79" s="35">
        <f>SUMIF('5 Year Supply Plan'!A:A,'JZ_BRAND SPLITS'!C79,'5 Year Supply Plan'!BJ:BJ)</f>
        <v>62047</v>
      </c>
      <c r="DK79" s="35">
        <f t="shared" si="176"/>
        <v>62047</v>
      </c>
      <c r="DL79" s="35">
        <f>SUMIF('5 Year Supply Plan'!A:A,'JZ_BRAND SPLITS'!C79,'5 Year Supply Plan'!BK:BK)</f>
        <v>56603</v>
      </c>
      <c r="DM79" s="35">
        <f t="shared" si="177"/>
        <v>56603</v>
      </c>
      <c r="DN79" s="42">
        <f>SUMIF('5 Year Supply Plan'!A:A,'JZ_BRAND SPLITS'!C79,'5 Year Supply Plan'!BL:BL)</f>
        <v>60583</v>
      </c>
      <c r="DO79" s="35">
        <f t="shared" si="178"/>
        <v>60583</v>
      </c>
      <c r="DP79" s="35">
        <f>SUMIF('5 Year Supply Plan'!A:A,'JZ_BRAND SPLITS'!C79,'5 Year Supply Plan'!BM:BM)</f>
        <v>62488.125</v>
      </c>
      <c r="DQ79" s="35">
        <f t="shared" si="179"/>
        <v>62488.125</v>
      </c>
      <c r="DR79" s="35">
        <f>SUMIF('5 Year Supply Plan'!A:A,'JZ_BRAND SPLITS'!C79,'5 Year Supply Plan'!BN:BN)</f>
        <v>62488.125</v>
      </c>
      <c r="DS79" s="35">
        <f t="shared" si="180"/>
        <v>62488.125</v>
      </c>
      <c r="DT79" s="39">
        <f t="shared" si="181"/>
        <v>3266484.25</v>
      </c>
      <c r="DU79" s="36">
        <f>SUMIF('5 Year Supply Plan'!A:A,'JZ_BRAND SPLITS'!C79,'5 Year Supply Plan'!BO:BO)</f>
        <v>0</v>
      </c>
    </row>
  </sheetData>
  <autoFilter ref="A2:DV79" xr:uid="{74341371-1E05-4871-93CD-67963B8DD3BE}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1" operator="equal" id="{912CD63D-3376-4DEC-8D68-DD3BA6D425BF}">
            <xm:f>'5 Year Supply Plan'!$H$2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</xm:sqref>
        </x14:conditionalFormatting>
        <x14:conditionalFormatting xmlns:xm="http://schemas.microsoft.com/office/excel/2006/main">
          <x14:cfRule type="cellIs" priority="89" operator="equal" id="{2B3F33D5-DC01-4C85-BA65-907167068ED2}">
            <xm:f>'5 Year Supply Plan'!$I$2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I1</xm:sqref>
        </x14:conditionalFormatting>
        <x14:conditionalFormatting xmlns:xm="http://schemas.microsoft.com/office/excel/2006/main">
          <x14:cfRule type="cellIs" priority="88" operator="equal" id="{7F5C2FF9-5A46-4726-870D-1EA8FDF1E724}">
            <xm:f>'5 Year Supply Plan'!$J$2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K1</xm:sqref>
        </x14:conditionalFormatting>
        <x14:conditionalFormatting xmlns:xm="http://schemas.microsoft.com/office/excel/2006/main">
          <x14:cfRule type="cellIs" priority="87" operator="equal" id="{524976F9-0CB7-41FE-A3B3-3078B1C94341}">
            <xm:f>'5 Year Supply Plan'!$K$2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M1</xm:sqref>
        </x14:conditionalFormatting>
        <x14:conditionalFormatting xmlns:xm="http://schemas.microsoft.com/office/excel/2006/main">
          <x14:cfRule type="cellIs" priority="86" operator="equal" id="{D7676CE7-98C7-4838-9B94-3B3C9D1BEE57}">
            <xm:f>'5 Year Supply Plan'!$L$2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O1</xm:sqref>
        </x14:conditionalFormatting>
        <x14:conditionalFormatting xmlns:xm="http://schemas.microsoft.com/office/excel/2006/main">
          <x14:cfRule type="cellIs" priority="85" operator="equal" id="{91C94844-E48C-431E-A4B8-FFEA7872F2F6}">
            <xm:f>'5 Year Supply Plan'!$M$2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Q1</xm:sqref>
        </x14:conditionalFormatting>
        <x14:conditionalFormatting xmlns:xm="http://schemas.microsoft.com/office/excel/2006/main">
          <x14:cfRule type="cellIs" priority="84" operator="equal" id="{A023E8BE-9136-45C9-ABAF-A6EC978C0EF2}">
            <xm:f>'5 Year Supply Plan'!$N$2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S1</xm:sqref>
        </x14:conditionalFormatting>
        <x14:conditionalFormatting xmlns:xm="http://schemas.microsoft.com/office/excel/2006/main">
          <x14:cfRule type="cellIs" priority="83" operator="equal" id="{E6CFC2A0-6D98-488C-BC1B-8FB1CE9DE38A}">
            <xm:f>'5 Year Supply Plan'!$O$2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U1</xm:sqref>
        </x14:conditionalFormatting>
        <x14:conditionalFormatting xmlns:xm="http://schemas.microsoft.com/office/excel/2006/main">
          <x14:cfRule type="cellIs" priority="82" operator="equal" id="{E83F478C-279F-4E78-8F18-9F294CA1A9DC}">
            <xm:f>'5 Year Supply Plan'!$P$2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W1</xm:sqref>
        </x14:conditionalFormatting>
        <x14:conditionalFormatting xmlns:xm="http://schemas.microsoft.com/office/excel/2006/main">
          <x14:cfRule type="cellIs" priority="81" operator="equal" id="{EB1831DE-CA2E-4ECF-BABC-2999EA2B9592}">
            <xm:f>'5 Year Supply Plan'!$Q$2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Y1</xm:sqref>
        </x14:conditionalFormatting>
        <x14:conditionalFormatting xmlns:xm="http://schemas.microsoft.com/office/excel/2006/main">
          <x14:cfRule type="cellIs" priority="80" operator="equal" id="{F38E0E41-636B-4ADB-AF72-8828517F56CB}">
            <xm:f>'5 Year Supply Plan'!$R$2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AA1</xm:sqref>
        </x14:conditionalFormatting>
        <x14:conditionalFormatting xmlns:xm="http://schemas.microsoft.com/office/excel/2006/main">
          <x14:cfRule type="cellIs" priority="79" operator="equal" id="{DB206EDF-3B5C-41C5-92C9-FCE281D2B998}">
            <xm:f>'5 Year Supply Plan'!$S$2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AC1</xm:sqref>
        </x14:conditionalFormatting>
        <x14:conditionalFormatting xmlns:xm="http://schemas.microsoft.com/office/excel/2006/main">
          <x14:cfRule type="cellIs" priority="78" operator="equal" id="{0D1FAF90-AF05-4205-829E-9D260C89B1C2}">
            <xm:f>'5 Year Supply Plan'!$T$2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AE1</xm:sqref>
        </x14:conditionalFormatting>
        <x14:conditionalFormatting xmlns:xm="http://schemas.microsoft.com/office/excel/2006/main">
          <x14:cfRule type="cellIs" priority="77" operator="equal" id="{2394276E-0245-4CE5-A161-1DC16C0F7057}">
            <xm:f>'5 Year Supply Plan'!$U$2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AG1</xm:sqref>
        </x14:conditionalFormatting>
        <x14:conditionalFormatting xmlns:xm="http://schemas.microsoft.com/office/excel/2006/main">
          <x14:cfRule type="cellIs" priority="76" operator="equal" id="{6C6A2DF1-8CB9-47E0-B80A-F016B2198FC9}">
            <xm:f>'5 Year Supply Plan'!$V$2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AI1</xm:sqref>
        </x14:conditionalFormatting>
        <x14:conditionalFormatting xmlns:xm="http://schemas.microsoft.com/office/excel/2006/main">
          <x14:cfRule type="cellIs" priority="75" operator="equal" id="{5775DC47-598B-4148-9AA6-90B96F6D44A1}">
            <xm:f>'5 Year Supply Plan'!$W$2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AK1</xm:sqref>
        </x14:conditionalFormatting>
        <x14:conditionalFormatting xmlns:xm="http://schemas.microsoft.com/office/excel/2006/main">
          <x14:cfRule type="cellIs" priority="74" operator="equal" id="{2A18630E-934A-4892-AB2A-E25E27159956}">
            <xm:f>'5 Year Supply Plan'!$X$2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AM1</xm:sqref>
        </x14:conditionalFormatting>
        <x14:conditionalFormatting xmlns:xm="http://schemas.microsoft.com/office/excel/2006/main">
          <x14:cfRule type="cellIs" priority="73" operator="equal" id="{EA5B1C31-404E-49E2-B0AF-C47A0CFFD7A5}">
            <xm:f>'5 Year Supply Plan'!$Y$2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AO1</xm:sqref>
        </x14:conditionalFormatting>
        <x14:conditionalFormatting xmlns:xm="http://schemas.microsoft.com/office/excel/2006/main">
          <x14:cfRule type="cellIs" priority="72" operator="equal" id="{A72FD295-B88F-405C-B888-05493DB8C580}">
            <xm:f>'5 Year Supply Plan'!$Z$2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AQ1</xm:sqref>
        </x14:conditionalFormatting>
        <x14:conditionalFormatting xmlns:xm="http://schemas.microsoft.com/office/excel/2006/main">
          <x14:cfRule type="cellIs" priority="71" operator="equal" id="{2B3A1AA6-58BB-4520-BB7D-5128C53EF72D}">
            <xm:f>'5 Year Supply Plan'!$AA$2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AS1</xm:sqref>
        </x14:conditionalFormatting>
        <x14:conditionalFormatting xmlns:xm="http://schemas.microsoft.com/office/excel/2006/main">
          <x14:cfRule type="cellIs" priority="70" operator="equal" id="{7BDB2CE9-9066-45D4-B3AD-8AAC9A7C5C00}">
            <xm:f>'5 Year Supply Plan'!$AB$2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AU1</xm:sqref>
        </x14:conditionalFormatting>
        <x14:conditionalFormatting xmlns:xm="http://schemas.microsoft.com/office/excel/2006/main">
          <x14:cfRule type="cellIs" priority="69" operator="equal" id="{D4DFF9E2-2BB9-4A6E-9AA3-44A77A912ADE}">
            <xm:f>'5 Year Supply Plan'!$AC$2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AW1</xm:sqref>
        </x14:conditionalFormatting>
        <x14:conditionalFormatting xmlns:xm="http://schemas.microsoft.com/office/excel/2006/main">
          <x14:cfRule type="cellIs" priority="68" operator="equal" id="{01214C91-CC7C-4BF1-BB7E-6F691F46ECA9}">
            <xm:f>'5 Year Supply Plan'!$AD$2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AY1</xm:sqref>
        </x14:conditionalFormatting>
        <x14:conditionalFormatting xmlns:xm="http://schemas.microsoft.com/office/excel/2006/main">
          <x14:cfRule type="cellIs" priority="67" operator="equal" id="{050DAFF4-159D-45AA-800E-A1C0EBD0F389}">
            <xm:f>'5 Year Supply Plan'!$AE$2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BA1</xm:sqref>
        </x14:conditionalFormatting>
        <x14:conditionalFormatting xmlns:xm="http://schemas.microsoft.com/office/excel/2006/main">
          <x14:cfRule type="cellIs" priority="66" operator="equal" id="{9D7A100C-002D-4A5F-B7D8-0135C8013BC2}">
            <xm:f>'5 Year Supply Plan'!$AF$2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BC1</xm:sqref>
        </x14:conditionalFormatting>
        <x14:conditionalFormatting xmlns:xm="http://schemas.microsoft.com/office/excel/2006/main">
          <x14:cfRule type="cellIs" priority="65" operator="equal" id="{4D743689-A98A-4473-91CD-89C02088BF1A}">
            <xm:f>'5 Year Supply Plan'!$AG$2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BE1</xm:sqref>
        </x14:conditionalFormatting>
        <x14:conditionalFormatting xmlns:xm="http://schemas.microsoft.com/office/excel/2006/main">
          <x14:cfRule type="cellIs" priority="64" operator="equal" id="{1FF6D56E-A4C4-4E16-A673-B8C37ABE1E12}">
            <xm:f>'5 Year Supply Plan'!$AH$2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BG1</xm:sqref>
        </x14:conditionalFormatting>
        <x14:conditionalFormatting xmlns:xm="http://schemas.microsoft.com/office/excel/2006/main">
          <x14:cfRule type="cellIs" priority="63" operator="equal" id="{19E56475-5A65-4FD6-967C-8651FF6A0B76}">
            <xm:f>'5 Year Supply Plan'!$AI$2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BI1</xm:sqref>
        </x14:conditionalFormatting>
        <x14:conditionalFormatting xmlns:xm="http://schemas.microsoft.com/office/excel/2006/main">
          <x14:cfRule type="cellIs" priority="62" operator="equal" id="{514B85C0-10EC-4EDB-9D3F-F9CE39BE5528}">
            <xm:f>'5 Year Supply Plan'!$AJ$2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BK1</xm:sqref>
        </x14:conditionalFormatting>
        <x14:conditionalFormatting xmlns:xm="http://schemas.microsoft.com/office/excel/2006/main">
          <x14:cfRule type="cellIs" priority="61" operator="equal" id="{31CE5502-D48A-40D9-ACC8-048816909849}">
            <xm:f>'5 Year Supply Plan'!AK2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BM1</xm:sqref>
        </x14:conditionalFormatting>
        <x14:conditionalFormatting xmlns:xm="http://schemas.microsoft.com/office/excel/2006/main">
          <x14:cfRule type="cellIs" priority="31" operator="equal" id="{D4B3FB65-1735-4059-A956-E16CE82D1E76}">
            <xm:f>'5 Year Supply Plan'!AL2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BO1</xm:sqref>
        </x14:conditionalFormatting>
        <x14:conditionalFormatting xmlns:xm="http://schemas.microsoft.com/office/excel/2006/main">
          <x14:cfRule type="cellIs" priority="30" operator="equal" id="{BAF65CC9-530B-4F37-9F1E-E5414F767A99}">
            <xm:f>'5 Year Supply Plan'!AM2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BQ1</xm:sqref>
        </x14:conditionalFormatting>
        <x14:conditionalFormatting xmlns:xm="http://schemas.microsoft.com/office/excel/2006/main">
          <x14:cfRule type="cellIs" priority="29" operator="equal" id="{D094352C-D003-4885-A431-4E061B1679F7}">
            <xm:f>'5 Year Supply Plan'!AN2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BS1</xm:sqref>
        </x14:conditionalFormatting>
        <x14:conditionalFormatting xmlns:xm="http://schemas.microsoft.com/office/excel/2006/main">
          <x14:cfRule type="cellIs" priority="28" operator="equal" id="{46B6DE9E-D8EF-4618-9FFF-76357BFE5812}">
            <xm:f>'5 Year Supply Plan'!AO2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BU1</xm:sqref>
        </x14:conditionalFormatting>
        <x14:conditionalFormatting xmlns:xm="http://schemas.microsoft.com/office/excel/2006/main">
          <x14:cfRule type="cellIs" priority="27" operator="equal" id="{43F051E6-786C-4F8D-B15B-F4216B7B4015}">
            <xm:f>'5 Year Supply Plan'!AP2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BW1</xm:sqref>
        </x14:conditionalFormatting>
        <x14:conditionalFormatting xmlns:xm="http://schemas.microsoft.com/office/excel/2006/main">
          <x14:cfRule type="cellIs" priority="26" operator="equal" id="{F157873D-96CF-4F40-8B20-E413EC3FF7D6}">
            <xm:f>'5 Year Supply Plan'!AQ2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BY1</xm:sqref>
        </x14:conditionalFormatting>
        <x14:conditionalFormatting xmlns:xm="http://schemas.microsoft.com/office/excel/2006/main">
          <x14:cfRule type="cellIs" priority="25" operator="equal" id="{026DE45A-A32B-4C9C-8A54-70C0E7713A25}">
            <xm:f>'5 Year Supply Plan'!AR2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CA1</xm:sqref>
        </x14:conditionalFormatting>
        <x14:conditionalFormatting xmlns:xm="http://schemas.microsoft.com/office/excel/2006/main">
          <x14:cfRule type="cellIs" priority="24" operator="equal" id="{D5DC4B54-AFCE-4133-A0E9-395330641CEC}">
            <xm:f>'5 Year Supply Plan'!AS2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CC1</xm:sqref>
        </x14:conditionalFormatting>
        <x14:conditionalFormatting xmlns:xm="http://schemas.microsoft.com/office/excel/2006/main">
          <x14:cfRule type="cellIs" priority="23" operator="equal" id="{3A0241AB-21A6-4528-812C-D5FDB1A42124}">
            <xm:f>'5 Year Supply Plan'!AT2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CE1</xm:sqref>
        </x14:conditionalFormatting>
        <x14:conditionalFormatting xmlns:xm="http://schemas.microsoft.com/office/excel/2006/main">
          <x14:cfRule type="cellIs" priority="22" operator="equal" id="{68D69886-40E0-4BA1-B1D1-EB2E75DF1C01}">
            <xm:f>'5 Year Supply Plan'!AU2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CG1</xm:sqref>
        </x14:conditionalFormatting>
        <x14:conditionalFormatting xmlns:xm="http://schemas.microsoft.com/office/excel/2006/main">
          <x14:cfRule type="cellIs" priority="21" operator="equal" id="{748793BB-45F5-417D-8C98-FC6C0F326FC8}">
            <xm:f>'5 Year Supply Plan'!AV2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CI1</xm:sqref>
        </x14:conditionalFormatting>
        <x14:conditionalFormatting xmlns:xm="http://schemas.microsoft.com/office/excel/2006/main">
          <x14:cfRule type="cellIs" priority="20" operator="equal" id="{60826846-97A1-4F4B-ADFF-2D8675C20CF3}">
            <xm:f>'5 Year Supply Plan'!AW2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CK1</xm:sqref>
        </x14:conditionalFormatting>
        <x14:conditionalFormatting xmlns:xm="http://schemas.microsoft.com/office/excel/2006/main">
          <x14:cfRule type="cellIs" priority="19" operator="equal" id="{61CF9A24-E6C8-40B7-ABCF-3AF5FA0A2D5F}">
            <xm:f>'5 Year Supply Plan'!AX2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CM1</xm:sqref>
        </x14:conditionalFormatting>
        <x14:conditionalFormatting xmlns:xm="http://schemas.microsoft.com/office/excel/2006/main">
          <x14:cfRule type="cellIs" priority="18" operator="equal" id="{AD7B071C-0CDD-4AE1-877F-599DE8B0CA8F}">
            <xm:f>'5 Year Supply Plan'!AY2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CO1</xm:sqref>
        </x14:conditionalFormatting>
        <x14:conditionalFormatting xmlns:xm="http://schemas.microsoft.com/office/excel/2006/main">
          <x14:cfRule type="cellIs" priority="17" operator="equal" id="{98B7F7EE-ACD8-45C4-BFA4-D6EEFF5729A3}">
            <xm:f>'5 Year Supply Plan'!AZ2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CQ1</xm:sqref>
        </x14:conditionalFormatting>
        <x14:conditionalFormatting xmlns:xm="http://schemas.microsoft.com/office/excel/2006/main">
          <x14:cfRule type="cellIs" priority="16" operator="equal" id="{8376E4EC-0A4D-4E1F-ADE2-6E575F7D433F}">
            <xm:f>'5 Year Supply Plan'!BA2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CS1</xm:sqref>
        </x14:conditionalFormatting>
        <x14:conditionalFormatting xmlns:xm="http://schemas.microsoft.com/office/excel/2006/main">
          <x14:cfRule type="cellIs" priority="15" operator="equal" id="{467DB648-7FCA-46E7-9511-FD6C438F13D2}">
            <xm:f>'5 Year Supply Plan'!BB2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CU1</xm:sqref>
        </x14:conditionalFormatting>
        <x14:conditionalFormatting xmlns:xm="http://schemas.microsoft.com/office/excel/2006/main">
          <x14:cfRule type="cellIs" priority="14" operator="equal" id="{12901275-53D2-404C-87E2-9169EA14BDA2}">
            <xm:f>'5 Year Supply Plan'!BC2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CW1</xm:sqref>
        </x14:conditionalFormatting>
        <x14:conditionalFormatting xmlns:xm="http://schemas.microsoft.com/office/excel/2006/main">
          <x14:cfRule type="cellIs" priority="13" operator="equal" id="{8B097564-3B92-4667-A73B-A2871DA9F4E4}">
            <xm:f>'5 Year Supply Plan'!BD2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CY1</xm:sqref>
        </x14:conditionalFormatting>
        <x14:conditionalFormatting xmlns:xm="http://schemas.microsoft.com/office/excel/2006/main">
          <x14:cfRule type="cellIs" priority="12" operator="equal" id="{F0222CE4-4C45-422C-9E1E-989B9223FF76}">
            <xm:f>'5 Year Supply Plan'!BE2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DA1</xm:sqref>
        </x14:conditionalFormatting>
        <x14:conditionalFormatting xmlns:xm="http://schemas.microsoft.com/office/excel/2006/main">
          <x14:cfRule type="cellIs" priority="11" operator="equal" id="{6210230D-8F3F-444D-9E31-E464351F2C00}">
            <xm:f>'5 Year Supply Plan'!BF2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DC1</xm:sqref>
        </x14:conditionalFormatting>
        <x14:conditionalFormatting xmlns:xm="http://schemas.microsoft.com/office/excel/2006/main">
          <x14:cfRule type="cellIs" priority="10" operator="equal" id="{1346CE33-13DD-4857-938E-A197B2A5993A}">
            <xm:f>'5 Year Supply Plan'!BG2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DE1</xm:sqref>
        </x14:conditionalFormatting>
        <x14:conditionalFormatting xmlns:xm="http://schemas.microsoft.com/office/excel/2006/main">
          <x14:cfRule type="cellIs" priority="9" operator="equal" id="{DF5593E9-8BCD-459E-866B-6500ABBC2AD0}">
            <xm:f>'5 Year Supply Plan'!BH2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DG1</xm:sqref>
        </x14:conditionalFormatting>
        <x14:conditionalFormatting xmlns:xm="http://schemas.microsoft.com/office/excel/2006/main">
          <x14:cfRule type="cellIs" priority="7" operator="equal" id="{F7189167-1DBC-47E9-AC8A-86DE14C136B9}">
            <xm:f>'5 Year Supply Plan'!BI2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DI1</xm:sqref>
        </x14:conditionalFormatting>
        <x14:conditionalFormatting xmlns:xm="http://schemas.microsoft.com/office/excel/2006/main">
          <x14:cfRule type="cellIs" priority="6" operator="equal" id="{BC086957-FB6F-437D-89E2-460E66C62A93}">
            <xm:f>'5 Year Supply Plan'!BJ2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DK1</xm:sqref>
        </x14:conditionalFormatting>
        <x14:conditionalFormatting xmlns:xm="http://schemas.microsoft.com/office/excel/2006/main">
          <x14:cfRule type="cellIs" priority="5" operator="equal" id="{4102EF2E-D75D-4309-8CFC-013E6720664E}">
            <xm:f>'5 Year Supply Plan'!BK2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DM1</xm:sqref>
        </x14:conditionalFormatting>
        <x14:conditionalFormatting xmlns:xm="http://schemas.microsoft.com/office/excel/2006/main">
          <x14:cfRule type="cellIs" priority="4" operator="equal" id="{73A5591B-6481-476E-A257-E5335FE94433}">
            <xm:f>'5 Year Supply Plan'!BL2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DO1</xm:sqref>
        </x14:conditionalFormatting>
        <x14:conditionalFormatting xmlns:xm="http://schemas.microsoft.com/office/excel/2006/main">
          <x14:cfRule type="cellIs" priority="3" operator="equal" id="{82F522D0-07C2-4356-A3DD-15FF858C361C}">
            <xm:f>'5 Year Supply Plan'!BM2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DQ1</xm:sqref>
        </x14:conditionalFormatting>
        <x14:conditionalFormatting xmlns:xm="http://schemas.microsoft.com/office/excel/2006/main">
          <x14:cfRule type="cellIs" priority="1" operator="equal" id="{8A56A224-0961-4BDB-A1E3-DCF4D4D16F9D}">
            <xm:f>'5 Year Supply Plan'!BN2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DS1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5D86-6DCC-47B4-AEA8-F5D19EA322FF}">
  <dimension ref="A1:BJ10"/>
  <sheetViews>
    <sheetView topLeftCell="AJ1" workbookViewId="0">
      <selection activeCell="C7" sqref="C7:BI7"/>
    </sheetView>
  </sheetViews>
  <sheetFormatPr defaultRowHeight="12.5" x14ac:dyDescent="0.25"/>
  <cols>
    <col min="1" max="1" width="18.81640625" bestFit="1" customWidth="1"/>
    <col min="2" max="2" width="11.81640625" bestFit="1" customWidth="1"/>
    <col min="3" max="61" width="10.26953125" bestFit="1" customWidth="1"/>
    <col min="62" max="62" width="11.1796875" bestFit="1" customWidth="1"/>
  </cols>
  <sheetData>
    <row r="1" spans="1:62" ht="13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</row>
    <row r="2" spans="1:62" x14ac:dyDescent="0.25">
      <c r="A2" s="2" t="s">
        <v>303</v>
      </c>
      <c r="B2" s="2" t="s">
        <v>304</v>
      </c>
      <c r="C2" s="3">
        <v>21988</v>
      </c>
      <c r="D2" s="3">
        <v>20639</v>
      </c>
      <c r="E2" s="3">
        <v>22701</v>
      </c>
      <c r="F2" s="3">
        <v>20728</v>
      </c>
      <c r="G2" s="3">
        <v>21186</v>
      </c>
      <c r="H2" s="3">
        <v>21362</v>
      </c>
      <c r="I2" s="3">
        <v>20405</v>
      </c>
      <c r="J2" s="3">
        <v>18977</v>
      </c>
      <c r="K2" s="3">
        <v>21582</v>
      </c>
      <c r="L2" s="3">
        <v>24998</v>
      </c>
      <c r="M2" s="3">
        <v>21112</v>
      </c>
      <c r="N2" s="3">
        <v>22215</v>
      </c>
      <c r="O2" s="3">
        <v>23889</v>
      </c>
      <c r="P2" s="3">
        <v>21825</v>
      </c>
      <c r="Q2" s="3">
        <v>24336</v>
      </c>
      <c r="R2" s="3">
        <v>20839</v>
      </c>
      <c r="S2" s="3">
        <v>22671</v>
      </c>
      <c r="T2" s="3">
        <v>23459</v>
      </c>
      <c r="U2" s="3">
        <v>21492</v>
      </c>
      <c r="V2" s="3">
        <v>19922</v>
      </c>
      <c r="W2" s="3">
        <v>22646</v>
      </c>
      <c r="X2" s="3">
        <v>26147</v>
      </c>
      <c r="Y2" s="3">
        <v>22616</v>
      </c>
      <c r="Z2" s="3">
        <v>23870</v>
      </c>
      <c r="AA2" s="3">
        <v>25673</v>
      </c>
      <c r="AB2" s="3">
        <v>23453</v>
      </c>
      <c r="AC2" s="3">
        <v>26152</v>
      </c>
      <c r="AD2" s="3">
        <v>22390</v>
      </c>
      <c r="AE2" s="3">
        <v>24363</v>
      </c>
      <c r="AF2" s="3">
        <v>25214</v>
      </c>
      <c r="AG2" s="3">
        <v>23099</v>
      </c>
      <c r="AH2" s="3">
        <v>21408</v>
      </c>
      <c r="AI2" s="3">
        <v>24370</v>
      </c>
      <c r="AJ2" s="3">
        <v>28173</v>
      </c>
      <c r="AK2" s="3">
        <v>24169</v>
      </c>
      <c r="AL2" s="3">
        <v>25490</v>
      </c>
      <c r="AM2" s="3">
        <v>27400</v>
      </c>
      <c r="AN2" s="3">
        <v>25038</v>
      </c>
      <c r="AO2" s="3">
        <v>27907</v>
      </c>
      <c r="AP2" s="3">
        <v>23910</v>
      </c>
      <c r="AQ2" s="3">
        <v>26005</v>
      </c>
      <c r="AR2" s="3">
        <v>26893</v>
      </c>
      <c r="AS2" s="3">
        <v>24632</v>
      </c>
      <c r="AT2" s="3">
        <v>22870</v>
      </c>
      <c r="AU2" s="3">
        <v>25938</v>
      </c>
      <c r="AV2" s="3">
        <v>30069</v>
      </c>
      <c r="AW2" s="3">
        <v>25685</v>
      </c>
      <c r="AX2" s="3">
        <v>27066</v>
      </c>
      <c r="AY2" s="3">
        <v>29108</v>
      </c>
      <c r="AZ2" s="3">
        <v>26596</v>
      </c>
      <c r="BA2" s="3">
        <v>29649</v>
      </c>
      <c r="BB2" s="3">
        <v>25390</v>
      </c>
      <c r="BC2" s="3">
        <v>27624</v>
      </c>
      <c r="BD2" s="3">
        <v>28587</v>
      </c>
      <c r="BE2" s="3">
        <v>26261</v>
      </c>
      <c r="BF2" s="3">
        <v>24619</v>
      </c>
      <c r="BG2" s="3">
        <v>26096</v>
      </c>
      <c r="BH2" s="3">
        <v>27229.25</v>
      </c>
      <c r="BI2" s="3">
        <v>27229.25</v>
      </c>
    </row>
    <row r="3" spans="1:62" x14ac:dyDescent="0.25">
      <c r="A3" s="2" t="s">
        <v>305</v>
      </c>
      <c r="B3" s="2" t="s">
        <v>304</v>
      </c>
      <c r="C3" s="3">
        <v>17523</v>
      </c>
      <c r="D3" s="3">
        <v>24518</v>
      </c>
      <c r="E3" s="3">
        <v>25594</v>
      </c>
      <c r="F3" s="3">
        <v>23783</v>
      </c>
      <c r="G3" s="3">
        <v>25428</v>
      </c>
      <c r="H3" s="3">
        <v>25711</v>
      </c>
      <c r="I3" s="3">
        <v>30856</v>
      </c>
      <c r="J3" s="3">
        <v>28130</v>
      </c>
      <c r="K3" s="3">
        <v>30177</v>
      </c>
      <c r="L3" s="3">
        <v>33979</v>
      </c>
      <c r="M3" s="3">
        <v>26210</v>
      </c>
      <c r="N3" s="3">
        <v>26661</v>
      </c>
      <c r="O3" s="3">
        <v>30486</v>
      </c>
      <c r="P3" s="3">
        <v>27402</v>
      </c>
      <c r="Q3" s="3">
        <v>31208</v>
      </c>
      <c r="R3" s="3">
        <v>25466</v>
      </c>
      <c r="S3" s="3">
        <v>28869</v>
      </c>
      <c r="T3" s="3">
        <v>31288</v>
      </c>
      <c r="U3" s="3">
        <v>29190</v>
      </c>
      <c r="V3" s="3">
        <v>25980</v>
      </c>
      <c r="W3" s="3">
        <v>28208</v>
      </c>
      <c r="X3" s="3">
        <v>31869</v>
      </c>
      <c r="Y3" s="3">
        <v>27997</v>
      </c>
      <c r="Z3" s="3">
        <v>28928</v>
      </c>
      <c r="AA3" s="3">
        <v>33064</v>
      </c>
      <c r="AB3" s="3">
        <v>29738</v>
      </c>
      <c r="AC3" s="3">
        <v>33889</v>
      </c>
      <c r="AD3" s="3">
        <v>27730</v>
      </c>
      <c r="AE3" s="3">
        <v>31418</v>
      </c>
      <c r="AF3" s="3">
        <v>33998</v>
      </c>
      <c r="AG3" s="3">
        <v>31733</v>
      </c>
      <c r="AH3" s="3">
        <v>28334</v>
      </c>
      <c r="AI3" s="3">
        <v>30490</v>
      </c>
      <c r="AJ3" s="3">
        <v>34334</v>
      </c>
      <c r="AK3" s="3">
        <v>29995</v>
      </c>
      <c r="AL3" s="3">
        <v>30957</v>
      </c>
      <c r="AM3" s="3">
        <v>35376</v>
      </c>
      <c r="AN3" s="3">
        <v>31825</v>
      </c>
      <c r="AO3" s="3">
        <v>36282</v>
      </c>
      <c r="AP3" s="3">
        <v>29735</v>
      </c>
      <c r="AQ3" s="3">
        <v>33676</v>
      </c>
      <c r="AR3" s="3">
        <v>36411</v>
      </c>
      <c r="AS3" s="3">
        <v>33996</v>
      </c>
      <c r="AT3" s="3">
        <v>30429</v>
      </c>
      <c r="AU3" s="3">
        <v>32474</v>
      </c>
      <c r="AV3" s="3">
        <v>36420</v>
      </c>
      <c r="AW3" s="3">
        <v>31661</v>
      </c>
      <c r="AX3" s="3">
        <v>32622</v>
      </c>
      <c r="AY3" s="3">
        <v>37289</v>
      </c>
      <c r="AZ3" s="3">
        <v>33541</v>
      </c>
      <c r="BA3" s="3">
        <v>38256</v>
      </c>
      <c r="BB3" s="3">
        <v>31348</v>
      </c>
      <c r="BC3" s="3">
        <v>35494</v>
      </c>
      <c r="BD3" s="3">
        <v>38373</v>
      </c>
      <c r="BE3" s="3">
        <v>35786</v>
      </c>
      <c r="BF3" s="3">
        <v>31984</v>
      </c>
      <c r="BG3" s="3">
        <v>34487</v>
      </c>
      <c r="BH3" s="3">
        <v>35258.875</v>
      </c>
      <c r="BI3" s="3">
        <v>35258.875</v>
      </c>
    </row>
    <row r="4" spans="1:62" x14ac:dyDescent="0.25">
      <c r="A4" s="2" t="s">
        <v>306</v>
      </c>
      <c r="B4" s="2" t="s">
        <v>304</v>
      </c>
      <c r="C4" s="3">
        <v>17569</v>
      </c>
      <c r="D4" s="3">
        <v>14286</v>
      </c>
      <c r="E4" s="3">
        <v>17436</v>
      </c>
      <c r="F4" s="3">
        <v>16922</v>
      </c>
      <c r="G4" s="3">
        <v>19854</v>
      </c>
      <c r="H4" s="3">
        <v>21922</v>
      </c>
      <c r="I4" s="3">
        <v>21733</v>
      </c>
      <c r="J4" s="3">
        <v>20766</v>
      </c>
      <c r="K4" s="3">
        <v>20837</v>
      </c>
      <c r="L4" s="3">
        <v>24840</v>
      </c>
      <c r="M4" s="3">
        <v>20178</v>
      </c>
      <c r="N4" s="3">
        <v>22216</v>
      </c>
      <c r="O4" s="3">
        <v>24304</v>
      </c>
      <c r="P4" s="3">
        <v>21118</v>
      </c>
      <c r="Q4" s="3">
        <v>24310</v>
      </c>
      <c r="R4" s="3">
        <v>21158</v>
      </c>
      <c r="S4" s="3">
        <v>22269</v>
      </c>
      <c r="T4" s="3">
        <v>24313</v>
      </c>
      <c r="U4" s="3">
        <v>22118</v>
      </c>
      <c r="V4" s="3">
        <v>21134</v>
      </c>
      <c r="W4" s="3">
        <v>21207</v>
      </c>
      <c r="X4" s="3">
        <v>25378</v>
      </c>
      <c r="Y4" s="3">
        <v>21909</v>
      </c>
      <c r="Z4" s="3">
        <v>24124</v>
      </c>
      <c r="AA4" s="3">
        <v>26392</v>
      </c>
      <c r="AB4" s="3">
        <v>22931</v>
      </c>
      <c r="AC4" s="3">
        <v>26397</v>
      </c>
      <c r="AD4" s="3">
        <v>22975</v>
      </c>
      <c r="AE4" s="3">
        <v>24181</v>
      </c>
      <c r="AF4" s="3">
        <v>26400</v>
      </c>
      <c r="AG4" s="3">
        <v>24017</v>
      </c>
      <c r="AH4" s="3">
        <v>22949</v>
      </c>
      <c r="AI4" s="3">
        <v>23028</v>
      </c>
      <c r="AJ4" s="3">
        <v>27514</v>
      </c>
      <c r="AK4" s="3">
        <v>23223</v>
      </c>
      <c r="AL4" s="3">
        <v>25571</v>
      </c>
      <c r="AM4" s="3">
        <v>27976</v>
      </c>
      <c r="AN4" s="3">
        <v>24307</v>
      </c>
      <c r="AO4" s="3">
        <v>27981</v>
      </c>
      <c r="AP4" s="3">
        <v>24353</v>
      </c>
      <c r="AQ4" s="3">
        <v>25632</v>
      </c>
      <c r="AR4" s="3">
        <v>27984</v>
      </c>
      <c r="AS4" s="3">
        <v>25459</v>
      </c>
      <c r="AT4" s="3">
        <v>24326</v>
      </c>
      <c r="AU4" s="3">
        <v>24408</v>
      </c>
      <c r="AV4" s="3">
        <v>29165</v>
      </c>
      <c r="AW4" s="3">
        <v>24618</v>
      </c>
      <c r="AX4" s="3">
        <v>27105</v>
      </c>
      <c r="AY4" s="3">
        <v>29654</v>
      </c>
      <c r="AZ4" s="3">
        <v>25765</v>
      </c>
      <c r="BA4" s="3">
        <v>29660</v>
      </c>
      <c r="BB4" s="3">
        <v>25815</v>
      </c>
      <c r="BC4" s="3">
        <v>27169</v>
      </c>
      <c r="BD4" s="3">
        <v>29664</v>
      </c>
      <c r="BE4" s="3">
        <v>26985</v>
      </c>
      <c r="BF4" s="3">
        <v>25786</v>
      </c>
      <c r="BG4" s="3">
        <v>25874</v>
      </c>
      <c r="BH4" s="3">
        <v>27562.25</v>
      </c>
      <c r="BI4" s="3">
        <v>27562.25</v>
      </c>
    </row>
    <row r="5" spans="1:62" ht="13" x14ac:dyDescent="0.3">
      <c r="A5" s="46" t="s">
        <v>307</v>
      </c>
      <c r="B5" s="2" t="s">
        <v>304</v>
      </c>
      <c r="C5" s="8">
        <f>SUM(C2:C4)</f>
        <v>57080</v>
      </c>
      <c r="D5" s="8">
        <f t="shared" ref="D5:BI5" si="0">SUM(D2:D4)</f>
        <v>59443</v>
      </c>
      <c r="E5" s="8">
        <f t="shared" si="0"/>
        <v>65731</v>
      </c>
      <c r="F5" s="8">
        <f t="shared" si="0"/>
        <v>61433</v>
      </c>
      <c r="G5" s="8">
        <f t="shared" si="0"/>
        <v>66468</v>
      </c>
      <c r="H5" s="8">
        <f t="shared" si="0"/>
        <v>68995</v>
      </c>
      <c r="I5" s="8">
        <f t="shared" si="0"/>
        <v>72994</v>
      </c>
      <c r="J5" s="8">
        <f t="shared" si="0"/>
        <v>67873</v>
      </c>
      <c r="K5" s="8">
        <f t="shared" si="0"/>
        <v>72596</v>
      </c>
      <c r="L5" s="8">
        <f t="shared" si="0"/>
        <v>83817</v>
      </c>
      <c r="M5" s="8">
        <f t="shared" si="0"/>
        <v>67500</v>
      </c>
      <c r="N5" s="8">
        <f t="shared" si="0"/>
        <v>71092</v>
      </c>
      <c r="O5" s="8">
        <f t="shared" si="0"/>
        <v>78679</v>
      </c>
      <c r="P5" s="8">
        <f t="shared" si="0"/>
        <v>70345</v>
      </c>
      <c r="Q5" s="8">
        <f t="shared" si="0"/>
        <v>79854</v>
      </c>
      <c r="R5" s="8">
        <f t="shared" si="0"/>
        <v>67463</v>
      </c>
      <c r="S5" s="8">
        <f t="shared" si="0"/>
        <v>73809</v>
      </c>
      <c r="T5" s="8">
        <f t="shared" si="0"/>
        <v>79060</v>
      </c>
      <c r="U5" s="8">
        <f t="shared" si="0"/>
        <v>72800</v>
      </c>
      <c r="V5" s="8">
        <f t="shared" si="0"/>
        <v>67036</v>
      </c>
      <c r="W5" s="8">
        <f t="shared" si="0"/>
        <v>72061</v>
      </c>
      <c r="X5" s="8">
        <f t="shared" si="0"/>
        <v>83394</v>
      </c>
      <c r="Y5" s="8">
        <f t="shared" si="0"/>
        <v>72522</v>
      </c>
      <c r="Z5" s="8">
        <f t="shared" si="0"/>
        <v>76922</v>
      </c>
      <c r="AA5" s="8">
        <f t="shared" si="0"/>
        <v>85129</v>
      </c>
      <c r="AB5" s="8">
        <f t="shared" si="0"/>
        <v>76122</v>
      </c>
      <c r="AC5" s="8">
        <f t="shared" si="0"/>
        <v>86438</v>
      </c>
      <c r="AD5" s="8">
        <f t="shared" si="0"/>
        <v>73095</v>
      </c>
      <c r="AE5" s="8">
        <f t="shared" si="0"/>
        <v>79962</v>
      </c>
      <c r="AF5" s="8">
        <f t="shared" si="0"/>
        <v>85612</v>
      </c>
      <c r="AG5" s="8">
        <f t="shared" si="0"/>
        <v>78849</v>
      </c>
      <c r="AH5" s="8">
        <f t="shared" si="0"/>
        <v>72691</v>
      </c>
      <c r="AI5" s="8">
        <f t="shared" si="0"/>
        <v>77888</v>
      </c>
      <c r="AJ5" s="8">
        <f t="shared" si="0"/>
        <v>90021</v>
      </c>
      <c r="AK5" s="8">
        <f t="shared" si="0"/>
        <v>77387</v>
      </c>
      <c r="AL5" s="8">
        <f t="shared" si="0"/>
        <v>82018</v>
      </c>
      <c r="AM5" s="8">
        <f t="shared" si="0"/>
        <v>90752</v>
      </c>
      <c r="AN5" s="8">
        <f t="shared" si="0"/>
        <v>81170</v>
      </c>
      <c r="AO5" s="8">
        <f t="shared" si="0"/>
        <v>92170</v>
      </c>
      <c r="AP5" s="8">
        <f t="shared" si="0"/>
        <v>77998</v>
      </c>
      <c r="AQ5" s="8">
        <f t="shared" si="0"/>
        <v>85313</v>
      </c>
      <c r="AR5" s="8">
        <f t="shared" si="0"/>
        <v>91288</v>
      </c>
      <c r="AS5" s="8">
        <f t="shared" si="0"/>
        <v>84087</v>
      </c>
      <c r="AT5" s="8">
        <f t="shared" si="0"/>
        <v>77625</v>
      </c>
      <c r="AU5" s="8">
        <f t="shared" si="0"/>
        <v>82820</v>
      </c>
      <c r="AV5" s="8">
        <f t="shared" si="0"/>
        <v>95654</v>
      </c>
      <c r="AW5" s="8">
        <f t="shared" si="0"/>
        <v>81964</v>
      </c>
      <c r="AX5" s="8">
        <f t="shared" si="0"/>
        <v>86793</v>
      </c>
      <c r="AY5" s="8">
        <f t="shared" si="0"/>
        <v>96051</v>
      </c>
      <c r="AZ5" s="8">
        <f t="shared" si="0"/>
        <v>85902</v>
      </c>
      <c r="BA5" s="8">
        <f t="shared" si="0"/>
        <v>97565</v>
      </c>
      <c r="BB5" s="8">
        <f t="shared" si="0"/>
        <v>82553</v>
      </c>
      <c r="BC5" s="8">
        <f t="shared" si="0"/>
        <v>90287</v>
      </c>
      <c r="BD5" s="8">
        <f t="shared" si="0"/>
        <v>96624</v>
      </c>
      <c r="BE5" s="8">
        <f t="shared" si="0"/>
        <v>89032</v>
      </c>
      <c r="BF5" s="8">
        <f t="shared" si="0"/>
        <v>82389</v>
      </c>
      <c r="BG5" s="8">
        <f t="shared" si="0"/>
        <v>86457</v>
      </c>
      <c r="BH5" s="8">
        <f t="shared" si="0"/>
        <v>90050.375</v>
      </c>
      <c r="BI5" s="8">
        <f t="shared" si="0"/>
        <v>90050.375</v>
      </c>
    </row>
    <row r="6" spans="1:62" x14ac:dyDescent="0.25">
      <c r="A6" s="2"/>
      <c r="B6" s="2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</row>
    <row r="7" spans="1:62" x14ac:dyDescent="0.25">
      <c r="A7" s="2" t="s">
        <v>114</v>
      </c>
      <c r="B7" s="2" t="s">
        <v>304</v>
      </c>
      <c r="C7" s="8">
        <v>39511</v>
      </c>
      <c r="D7" s="8">
        <v>45157</v>
      </c>
      <c r="E7" s="8">
        <v>48295</v>
      </c>
      <c r="F7" s="8">
        <v>44511</v>
      </c>
      <c r="G7" s="8">
        <v>46614</v>
      </c>
      <c r="H7" s="8">
        <v>47073</v>
      </c>
      <c r="I7" s="8">
        <v>51261</v>
      </c>
      <c r="J7" s="8">
        <v>47107</v>
      </c>
      <c r="K7" s="8">
        <v>51759</v>
      </c>
      <c r="L7" s="8">
        <v>58977</v>
      </c>
      <c r="M7" s="8">
        <v>47322</v>
      </c>
      <c r="N7" s="8">
        <v>48876</v>
      </c>
      <c r="O7" s="8">
        <v>54375</v>
      </c>
      <c r="P7" s="8">
        <v>49227</v>
      </c>
      <c r="Q7" s="8">
        <v>55544</v>
      </c>
      <c r="R7" s="8">
        <v>46305</v>
      </c>
      <c r="S7" s="8">
        <v>51540</v>
      </c>
      <c r="T7" s="8">
        <v>54747</v>
      </c>
      <c r="U7" s="8">
        <v>50682</v>
      </c>
      <c r="V7" s="8">
        <v>45902</v>
      </c>
      <c r="W7" s="8">
        <v>50854</v>
      </c>
      <c r="X7" s="8">
        <v>58016</v>
      </c>
      <c r="Y7" s="8">
        <v>50613</v>
      </c>
      <c r="Z7" s="8">
        <v>52798</v>
      </c>
      <c r="AA7" s="8">
        <v>58737</v>
      </c>
      <c r="AB7" s="8">
        <v>53191</v>
      </c>
      <c r="AC7" s="8">
        <v>60041</v>
      </c>
      <c r="AD7" s="8">
        <v>50120</v>
      </c>
      <c r="AE7" s="8">
        <v>55781</v>
      </c>
      <c r="AF7" s="8">
        <v>59212</v>
      </c>
      <c r="AG7" s="8">
        <v>54832</v>
      </c>
      <c r="AH7" s="8">
        <v>49742</v>
      </c>
      <c r="AI7" s="8">
        <v>54860</v>
      </c>
      <c r="AJ7" s="8">
        <v>62507</v>
      </c>
      <c r="AK7" s="8">
        <v>54164</v>
      </c>
      <c r="AL7" s="8">
        <v>56447</v>
      </c>
      <c r="AM7" s="8">
        <v>62776</v>
      </c>
      <c r="AN7" s="8">
        <v>56863</v>
      </c>
      <c r="AO7" s="8">
        <v>64189</v>
      </c>
      <c r="AP7" s="8">
        <v>53645</v>
      </c>
      <c r="AQ7" s="8">
        <v>59681</v>
      </c>
      <c r="AR7" s="8">
        <v>63304</v>
      </c>
      <c r="AS7" s="8">
        <v>58628</v>
      </c>
      <c r="AT7" s="8">
        <v>53299</v>
      </c>
      <c r="AU7" s="8">
        <v>58412</v>
      </c>
      <c r="AV7" s="8">
        <v>66489</v>
      </c>
      <c r="AW7" s="8">
        <v>57346</v>
      </c>
      <c r="AX7" s="8">
        <v>59688</v>
      </c>
      <c r="AY7" s="8">
        <v>66397</v>
      </c>
      <c r="AZ7" s="8">
        <v>60137</v>
      </c>
      <c r="BA7" s="8">
        <v>67905</v>
      </c>
      <c r="BB7" s="8">
        <v>56738</v>
      </c>
      <c r="BC7" s="8">
        <v>63118</v>
      </c>
      <c r="BD7" s="8">
        <v>66960</v>
      </c>
      <c r="BE7" s="8">
        <v>62047</v>
      </c>
      <c r="BF7" s="8">
        <v>56603</v>
      </c>
      <c r="BG7" s="8">
        <v>60583</v>
      </c>
      <c r="BH7" s="8">
        <v>62488.125</v>
      </c>
      <c r="BI7" s="8">
        <v>62488.125</v>
      </c>
    </row>
    <row r="8" spans="1:62" x14ac:dyDescent="0.25">
      <c r="A8" t="s">
        <v>307</v>
      </c>
      <c r="B8" s="2" t="s">
        <v>304</v>
      </c>
      <c r="C8" s="37">
        <v>57080</v>
      </c>
      <c r="D8" s="37">
        <v>59443</v>
      </c>
      <c r="E8" s="37">
        <v>65731</v>
      </c>
      <c r="F8" s="37">
        <v>61433</v>
      </c>
      <c r="G8" s="37">
        <v>66468</v>
      </c>
      <c r="H8" s="37">
        <v>68995</v>
      </c>
      <c r="I8" s="37">
        <v>72994</v>
      </c>
      <c r="J8" s="37">
        <v>67873</v>
      </c>
      <c r="K8" s="37">
        <v>72596</v>
      </c>
      <c r="L8" s="37">
        <v>83817</v>
      </c>
      <c r="M8" s="37">
        <v>67500</v>
      </c>
      <c r="N8" s="37">
        <v>71092</v>
      </c>
      <c r="O8" s="37">
        <v>78679</v>
      </c>
      <c r="P8" s="37">
        <v>70345</v>
      </c>
      <c r="Q8" s="37">
        <v>79854</v>
      </c>
      <c r="R8" s="37">
        <v>67463</v>
      </c>
      <c r="S8" s="37">
        <v>73809</v>
      </c>
      <c r="T8" s="37">
        <v>79060</v>
      </c>
      <c r="U8" s="37">
        <v>72800</v>
      </c>
      <c r="V8" s="37">
        <v>67036</v>
      </c>
      <c r="W8" s="37">
        <v>72061</v>
      </c>
      <c r="X8" s="37">
        <v>83394</v>
      </c>
      <c r="Y8" s="37">
        <v>72522</v>
      </c>
      <c r="Z8" s="37">
        <v>76922</v>
      </c>
      <c r="AA8" s="37">
        <v>85129</v>
      </c>
      <c r="AB8" s="37">
        <v>76122</v>
      </c>
      <c r="AC8" s="37">
        <v>86438</v>
      </c>
      <c r="AD8" s="37">
        <v>73095</v>
      </c>
      <c r="AE8" s="37">
        <v>79962</v>
      </c>
      <c r="AF8" s="37">
        <v>85612</v>
      </c>
      <c r="AG8" s="37">
        <v>78849</v>
      </c>
      <c r="AH8" s="37">
        <v>72691</v>
      </c>
      <c r="AI8" s="37">
        <v>77888</v>
      </c>
      <c r="AJ8" s="37">
        <v>90021</v>
      </c>
      <c r="AK8" s="37">
        <v>77387</v>
      </c>
      <c r="AL8" s="37">
        <v>82018</v>
      </c>
      <c r="AM8" s="37">
        <v>90752</v>
      </c>
      <c r="AN8" s="37">
        <v>81170</v>
      </c>
      <c r="AO8" s="37">
        <v>92170</v>
      </c>
      <c r="AP8" s="37">
        <v>77998</v>
      </c>
      <c r="AQ8" s="37">
        <v>85313</v>
      </c>
      <c r="AR8" s="37">
        <v>91288</v>
      </c>
      <c r="AS8" s="37">
        <v>84087</v>
      </c>
      <c r="AT8" s="37">
        <v>77625</v>
      </c>
      <c r="AU8" s="37">
        <v>82820</v>
      </c>
      <c r="AV8" s="37">
        <v>95654</v>
      </c>
      <c r="AW8" s="37">
        <v>81964</v>
      </c>
      <c r="AX8" s="37">
        <v>86793</v>
      </c>
      <c r="AY8" s="37">
        <v>96051</v>
      </c>
      <c r="AZ8" s="37">
        <v>85902</v>
      </c>
      <c r="BA8" s="37">
        <v>97565</v>
      </c>
      <c r="BB8" s="37">
        <v>82553</v>
      </c>
      <c r="BC8" s="37">
        <v>90287</v>
      </c>
      <c r="BD8" s="37">
        <v>96624</v>
      </c>
      <c r="BE8" s="37">
        <v>89032</v>
      </c>
      <c r="BF8" s="37">
        <v>82389</v>
      </c>
      <c r="BG8" s="37">
        <v>86457</v>
      </c>
      <c r="BH8" s="37">
        <v>90050.375</v>
      </c>
      <c r="BI8" s="37">
        <v>90050.375</v>
      </c>
    </row>
    <row r="10" spans="1:62" x14ac:dyDescent="0.25">
      <c r="C10">
        <v>39511</v>
      </c>
      <c r="D10">
        <v>45157</v>
      </c>
      <c r="E10">
        <v>48295</v>
      </c>
      <c r="F10">
        <v>44511</v>
      </c>
      <c r="G10">
        <v>46614</v>
      </c>
      <c r="H10">
        <v>47073</v>
      </c>
      <c r="I10">
        <v>51261</v>
      </c>
      <c r="J10">
        <v>47107</v>
      </c>
      <c r="K10">
        <v>51759</v>
      </c>
      <c r="L10">
        <v>58977</v>
      </c>
      <c r="M10">
        <v>47322</v>
      </c>
      <c r="N10">
        <v>48876</v>
      </c>
      <c r="O10">
        <v>54375</v>
      </c>
      <c r="P10">
        <v>49227</v>
      </c>
      <c r="Q10">
        <v>55544</v>
      </c>
      <c r="R10">
        <v>46305</v>
      </c>
      <c r="S10">
        <v>51540</v>
      </c>
      <c r="T10">
        <v>54747</v>
      </c>
      <c r="U10">
        <v>50682</v>
      </c>
      <c r="V10">
        <v>45902</v>
      </c>
      <c r="W10">
        <v>50854</v>
      </c>
      <c r="X10">
        <v>58016</v>
      </c>
      <c r="Y10">
        <v>50613</v>
      </c>
      <c r="Z10">
        <v>52798</v>
      </c>
      <c r="AA10">
        <v>58737</v>
      </c>
      <c r="AB10">
        <v>53191</v>
      </c>
      <c r="AC10">
        <v>60041</v>
      </c>
      <c r="AD10">
        <v>50120</v>
      </c>
      <c r="AE10">
        <v>55781</v>
      </c>
      <c r="AF10">
        <v>59212</v>
      </c>
      <c r="AG10">
        <v>54832</v>
      </c>
      <c r="AH10">
        <v>49742</v>
      </c>
      <c r="AI10">
        <v>54860</v>
      </c>
      <c r="AJ10">
        <v>62507</v>
      </c>
      <c r="AK10">
        <v>54164</v>
      </c>
      <c r="AL10">
        <v>56447</v>
      </c>
      <c r="AM10">
        <v>62776</v>
      </c>
      <c r="AN10">
        <v>56863</v>
      </c>
      <c r="AO10">
        <v>64189</v>
      </c>
      <c r="AP10">
        <v>53645</v>
      </c>
      <c r="AQ10">
        <v>59681</v>
      </c>
      <c r="AR10">
        <v>63304</v>
      </c>
      <c r="AS10">
        <v>58628</v>
      </c>
      <c r="AT10">
        <v>53299</v>
      </c>
      <c r="AU10">
        <v>58412</v>
      </c>
      <c r="AV10">
        <v>66489</v>
      </c>
      <c r="AW10">
        <v>57346</v>
      </c>
      <c r="AX10">
        <v>59688</v>
      </c>
      <c r="AY10">
        <v>66397</v>
      </c>
      <c r="AZ10">
        <v>60137</v>
      </c>
      <c r="BA10">
        <v>67905</v>
      </c>
      <c r="BB10">
        <v>56738</v>
      </c>
      <c r="BC10">
        <v>63118</v>
      </c>
      <c r="BD10">
        <v>66960</v>
      </c>
      <c r="BE10">
        <v>62047</v>
      </c>
      <c r="BF10">
        <v>56603</v>
      </c>
      <c r="BG10">
        <v>60583</v>
      </c>
      <c r="BH10">
        <v>62488.125</v>
      </c>
      <c r="BI10">
        <v>62488.125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1546-D325-499C-BF46-2D9551B8ACB1}">
  <dimension ref="A1:BJ3"/>
  <sheetViews>
    <sheetView topLeftCell="AI1" workbookViewId="0">
      <selection activeCell="AY13" sqref="AY13"/>
    </sheetView>
  </sheetViews>
  <sheetFormatPr defaultRowHeight="12.5" x14ac:dyDescent="0.25"/>
  <cols>
    <col min="1" max="1" width="12.453125" bestFit="1" customWidth="1"/>
    <col min="2" max="2" width="11.81640625" bestFit="1" customWidth="1"/>
    <col min="3" max="3" width="9" bestFit="1" customWidth="1"/>
    <col min="4" max="4" width="8.81640625" bestFit="1" customWidth="1"/>
    <col min="6" max="6" width="9" bestFit="1" customWidth="1"/>
    <col min="7" max="7" width="8.81640625" bestFit="1" customWidth="1"/>
    <col min="9" max="10" width="8.81640625" bestFit="1" customWidth="1"/>
    <col min="11" max="11" width="8.54296875" bestFit="1" customWidth="1"/>
    <col min="12" max="12" width="9.1796875" bestFit="1" customWidth="1"/>
    <col min="13" max="13" width="8.81640625" bestFit="1" customWidth="1"/>
    <col min="14" max="14" width="8.1796875" bestFit="1" customWidth="1"/>
    <col min="15" max="15" width="9" bestFit="1" customWidth="1"/>
    <col min="16" max="16" width="8.81640625" bestFit="1" customWidth="1"/>
    <col min="18" max="18" width="9" bestFit="1" customWidth="1"/>
    <col min="19" max="19" width="8.81640625" bestFit="1" customWidth="1"/>
    <col min="21" max="22" width="8.81640625" bestFit="1" customWidth="1"/>
    <col min="23" max="23" width="8.54296875" bestFit="1" customWidth="1"/>
    <col min="24" max="24" width="9.1796875" bestFit="1" customWidth="1"/>
    <col min="25" max="25" width="8.81640625" bestFit="1" customWidth="1"/>
    <col min="26" max="26" width="8.1796875" bestFit="1" customWidth="1"/>
    <col min="27" max="27" width="9" bestFit="1" customWidth="1"/>
    <col min="28" max="28" width="8.81640625" bestFit="1" customWidth="1"/>
    <col min="30" max="30" width="9" bestFit="1" customWidth="1"/>
    <col min="31" max="31" width="8.81640625" bestFit="1" customWidth="1"/>
    <col min="33" max="34" width="8.81640625" bestFit="1" customWidth="1"/>
    <col min="35" max="35" width="8.54296875" bestFit="1" customWidth="1"/>
    <col min="36" max="36" width="9.1796875" bestFit="1" customWidth="1"/>
    <col min="37" max="37" width="8.81640625" bestFit="1" customWidth="1"/>
    <col min="38" max="38" width="8.1796875" bestFit="1" customWidth="1"/>
    <col min="39" max="39" width="9" bestFit="1" customWidth="1"/>
    <col min="40" max="40" width="8.81640625" bestFit="1" customWidth="1"/>
    <col min="42" max="42" width="9" bestFit="1" customWidth="1"/>
    <col min="43" max="43" width="8.81640625" bestFit="1" customWidth="1"/>
    <col min="45" max="46" width="8.81640625" bestFit="1" customWidth="1"/>
    <col min="47" max="47" width="8.54296875" bestFit="1" customWidth="1"/>
    <col min="48" max="48" width="9.1796875" bestFit="1" customWidth="1"/>
    <col min="49" max="49" width="8.81640625" bestFit="1" customWidth="1"/>
    <col min="50" max="50" width="8.54296875" bestFit="1" customWidth="1"/>
    <col min="51" max="51" width="9" bestFit="1" customWidth="1"/>
    <col min="52" max="52" width="8.81640625" bestFit="1" customWidth="1"/>
    <col min="54" max="54" width="9" bestFit="1" customWidth="1"/>
    <col min="55" max="55" width="8.81640625" bestFit="1" customWidth="1"/>
    <col min="57" max="58" width="8.81640625" bestFit="1" customWidth="1"/>
    <col min="59" max="59" width="8.54296875" bestFit="1" customWidth="1"/>
    <col min="60" max="60" width="9.1796875" bestFit="1" customWidth="1"/>
    <col min="61" max="61" width="8.81640625" bestFit="1" customWidth="1"/>
    <col min="62" max="62" width="11.1796875" bestFit="1" customWidth="1"/>
  </cols>
  <sheetData>
    <row r="1" spans="1:62" ht="13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</row>
    <row r="2" spans="1:62" x14ac:dyDescent="0.25">
      <c r="A2" s="2" t="s">
        <v>308</v>
      </c>
      <c r="B2" s="2" t="s">
        <v>309</v>
      </c>
      <c r="C2" s="3">
        <v>4935.0413600000002</v>
      </c>
      <c r="D2" s="3">
        <v>5205.0413600000002</v>
      </c>
      <c r="E2" s="3">
        <v>4361.0413600000002</v>
      </c>
      <c r="F2" s="3">
        <v>6247.0413600000002</v>
      </c>
      <c r="G2" s="3">
        <v>2277</v>
      </c>
      <c r="H2" s="3">
        <v>2975.0413600000002</v>
      </c>
      <c r="I2" s="3">
        <v>4489.0413600000002</v>
      </c>
      <c r="J2" s="3">
        <v>4756.0413600000002</v>
      </c>
      <c r="K2" s="3">
        <v>2941.0413600000002</v>
      </c>
      <c r="L2" s="3">
        <v>2994.0413600000002</v>
      </c>
      <c r="M2" s="3">
        <v>3027</v>
      </c>
      <c r="N2" s="3">
        <v>6308.7820590000001</v>
      </c>
      <c r="O2" s="3">
        <v>6382.7094500000003</v>
      </c>
      <c r="P2" s="3">
        <v>4790.0990940000002</v>
      </c>
      <c r="Q2" s="3">
        <v>7281.4389840000003</v>
      </c>
      <c r="R2" s="3">
        <v>7277.3096850000002</v>
      </c>
      <c r="S2" s="3">
        <v>5318.2293360000003</v>
      </c>
      <c r="T2" s="3">
        <v>5710.7534299999998</v>
      </c>
      <c r="U2" s="3">
        <v>7670.3570369999998</v>
      </c>
      <c r="V2" s="3">
        <v>7685.4798129999999</v>
      </c>
      <c r="W2" s="3">
        <v>6264.4505010000003</v>
      </c>
      <c r="X2" s="3">
        <v>6511.8744200000001</v>
      </c>
      <c r="Y2" s="3">
        <v>6364.0368310000003</v>
      </c>
      <c r="Z2" s="3">
        <v>8256.4525450000001</v>
      </c>
      <c r="AA2" s="3">
        <v>9059.4525450000001</v>
      </c>
      <c r="AB2" s="3">
        <v>8668.4525450000001</v>
      </c>
      <c r="AC2" s="3">
        <v>9182.3826370000006</v>
      </c>
      <c r="AD2" s="3">
        <v>9068.3826370000006</v>
      </c>
      <c r="AE2" s="3">
        <v>9365.3826370000006</v>
      </c>
      <c r="AF2" s="3">
        <v>12186.477966</v>
      </c>
      <c r="AG2" s="3">
        <v>11883.477966</v>
      </c>
      <c r="AH2" s="3">
        <v>11635.477966</v>
      </c>
      <c r="AI2" s="3">
        <v>14228.311797</v>
      </c>
      <c r="AJ2" s="3">
        <v>14272.311797</v>
      </c>
      <c r="AK2" s="3">
        <v>14078.311797</v>
      </c>
      <c r="AL2" s="3">
        <v>15695.064767</v>
      </c>
      <c r="AM2" s="3">
        <v>16002.064767</v>
      </c>
      <c r="AN2" s="3">
        <v>14961.064767</v>
      </c>
      <c r="AO2" s="3">
        <v>17397.653449000001</v>
      </c>
      <c r="AP2" s="3">
        <v>17163.653449000001</v>
      </c>
      <c r="AQ2" s="3">
        <v>17552.653449000001</v>
      </c>
      <c r="AR2" s="3">
        <v>22509.422027000001</v>
      </c>
      <c r="AS2" s="3">
        <v>22012.422027000001</v>
      </c>
      <c r="AT2" s="3">
        <v>21812.422027000001</v>
      </c>
      <c r="AU2" s="3">
        <v>23842.987746999999</v>
      </c>
      <c r="AV2" s="3">
        <v>23974.987746999999</v>
      </c>
      <c r="AW2" s="3">
        <v>23735.987746999999</v>
      </c>
      <c r="AX2" s="3">
        <v>24585.183120999998</v>
      </c>
      <c r="AY2" s="3">
        <v>25017.183120999998</v>
      </c>
      <c r="AZ2" s="3">
        <v>23833.183120999998</v>
      </c>
      <c r="BA2" s="3">
        <v>29110.162605000001</v>
      </c>
      <c r="BB2" s="3">
        <v>28880.162605000001</v>
      </c>
      <c r="BC2" s="3">
        <v>29392.162605000001</v>
      </c>
      <c r="BD2" s="3">
        <v>33436.447723999998</v>
      </c>
      <c r="BE2" s="3">
        <v>32726.447724000001</v>
      </c>
      <c r="BF2" s="3">
        <v>32600.447724000001</v>
      </c>
      <c r="BG2" s="3">
        <v>34820.181578999996</v>
      </c>
      <c r="BH2" s="3">
        <v>34386.181578999996</v>
      </c>
      <c r="BI2" s="3">
        <v>34145.181578999996</v>
      </c>
      <c r="BJ2" s="8">
        <v>853251.07677199959</v>
      </c>
    </row>
    <row r="3" spans="1:62" x14ac:dyDescent="0.25">
      <c r="A3" s="2" t="s">
        <v>310</v>
      </c>
      <c r="B3" s="2" t="s">
        <v>309</v>
      </c>
      <c r="C3" s="3">
        <v>15738.117249000001</v>
      </c>
      <c r="D3" s="3">
        <v>11822.744688999999</v>
      </c>
      <c r="E3" s="3">
        <v>10431.669128</v>
      </c>
      <c r="F3" s="3">
        <v>12439.371155000001</v>
      </c>
      <c r="G3" s="3">
        <v>14195.481384000001</v>
      </c>
      <c r="H3" s="3">
        <v>14221.294006</v>
      </c>
      <c r="I3" s="3">
        <v>16739.810852000002</v>
      </c>
      <c r="J3" s="3">
        <v>18481.177734000001</v>
      </c>
      <c r="K3" s="3">
        <v>19089.581054999999</v>
      </c>
      <c r="L3" s="3">
        <v>30150.674682000001</v>
      </c>
      <c r="M3" s="3">
        <v>31866.972168</v>
      </c>
      <c r="N3" s="3">
        <v>36830.562073000001</v>
      </c>
      <c r="O3" s="3">
        <v>35533.800780999998</v>
      </c>
      <c r="P3" s="3">
        <v>33013.690612999999</v>
      </c>
      <c r="Q3" s="3">
        <v>35571.531616</v>
      </c>
      <c r="R3" s="3">
        <v>34638.162232000002</v>
      </c>
      <c r="S3" s="3">
        <v>41367.817688000003</v>
      </c>
      <c r="T3" s="3">
        <v>42226.504028000003</v>
      </c>
      <c r="U3" s="3">
        <v>43251.226746</v>
      </c>
      <c r="V3" s="3">
        <v>41275.037659000001</v>
      </c>
      <c r="W3" s="3">
        <v>45489.035278000003</v>
      </c>
      <c r="X3" s="3">
        <v>48844.737427</v>
      </c>
      <c r="Y3" s="3">
        <v>47975.704102000003</v>
      </c>
      <c r="Z3" s="3">
        <v>53706.865356000002</v>
      </c>
      <c r="AA3" s="3">
        <v>56248.865356000002</v>
      </c>
      <c r="AB3" s="3">
        <v>56051.865356000002</v>
      </c>
      <c r="AC3" s="3">
        <v>60596.901978000002</v>
      </c>
      <c r="AD3" s="3">
        <v>60683.901978000002</v>
      </c>
      <c r="AE3" s="3">
        <v>64876.901978000002</v>
      </c>
      <c r="AF3" s="3">
        <v>67481.391967999996</v>
      </c>
      <c r="AG3" s="3">
        <v>69665.391967999996</v>
      </c>
      <c r="AH3" s="3">
        <v>69676.391967999996</v>
      </c>
      <c r="AI3" s="3">
        <v>75401.567626999997</v>
      </c>
      <c r="AJ3" s="3">
        <v>78096.690673999998</v>
      </c>
      <c r="AK3" s="3">
        <v>74481.690673999998</v>
      </c>
      <c r="AL3" s="3">
        <v>93959.970459000004</v>
      </c>
      <c r="AM3" s="3">
        <v>94617.970459000004</v>
      </c>
      <c r="AN3" s="3">
        <v>92361.970459000004</v>
      </c>
      <c r="AO3" s="3">
        <v>104579.05346700001</v>
      </c>
      <c r="AP3" s="3">
        <v>101967.05346700001</v>
      </c>
      <c r="AQ3" s="3">
        <v>106747.05346700001</v>
      </c>
      <c r="AR3" s="3">
        <v>115681.89917</v>
      </c>
      <c r="AS3" s="3">
        <v>113858.89917</v>
      </c>
      <c r="AT3" s="3">
        <v>111958.89917</v>
      </c>
      <c r="AU3" s="3">
        <v>119832.081544</v>
      </c>
      <c r="AV3" s="3">
        <v>123860.081544</v>
      </c>
      <c r="AW3" s="3">
        <v>118713.101075</v>
      </c>
      <c r="AX3" s="3">
        <v>125384.93261800001</v>
      </c>
      <c r="AY3" s="3">
        <v>127331.93261800001</v>
      </c>
      <c r="AZ3" s="3">
        <v>124903.93261800001</v>
      </c>
      <c r="BA3" s="3">
        <v>130080.085693</v>
      </c>
      <c r="BB3" s="3">
        <v>127948.085693</v>
      </c>
      <c r="BC3" s="3">
        <v>135242.085693</v>
      </c>
      <c r="BD3" s="3">
        <v>138522.21362299999</v>
      </c>
      <c r="BE3" s="3">
        <v>133806.21362299999</v>
      </c>
      <c r="BF3" s="3">
        <v>130768.213623</v>
      </c>
      <c r="BG3" s="3">
        <v>138420.60107400001</v>
      </c>
      <c r="BH3" s="3">
        <v>130116.88623</v>
      </c>
      <c r="BI3" s="3">
        <v>118960.88623</v>
      </c>
      <c r="BJ3" s="8">
        <v>4327787.2340129996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724B-4E10-4F2E-818A-A130CDE7A2AC}">
  <dimension ref="A1:F61"/>
  <sheetViews>
    <sheetView workbookViewId="0">
      <selection activeCell="D3" sqref="D3:D61"/>
    </sheetView>
  </sheetViews>
  <sheetFormatPr defaultColWidth="10.1796875" defaultRowHeight="12.5" x14ac:dyDescent="0.25"/>
  <cols>
    <col min="1" max="1" width="9.54296875" style="30" customWidth="1"/>
    <col min="2" max="2" width="9.81640625" style="30" bestFit="1" customWidth="1"/>
    <col min="3" max="3" width="12.1796875" style="36" bestFit="1" customWidth="1"/>
    <col min="4" max="5" width="10.1796875" style="30"/>
    <col min="6" max="6" width="6" style="30" bestFit="1" customWidth="1"/>
    <col min="7" max="16384" width="10.1796875" style="30"/>
  </cols>
  <sheetData>
    <row r="1" spans="1:6" x14ac:dyDescent="0.25">
      <c r="C1" s="36">
        <f>SUBTOTAL(9,C3:C61)</f>
        <v>162089237.26787063</v>
      </c>
    </row>
    <row r="2" spans="1:6" x14ac:dyDescent="0.25">
      <c r="A2" s="30" t="s">
        <v>311</v>
      </c>
      <c r="B2" s="30" t="s">
        <v>312</v>
      </c>
    </row>
    <row r="3" spans="1:6" x14ac:dyDescent="0.25">
      <c r="A3" s="30" t="s">
        <v>313</v>
      </c>
      <c r="B3" s="43" t="s">
        <v>314</v>
      </c>
      <c r="C3" s="36">
        <f>'JZ_BRAND SPLITS'!G1</f>
        <v>2731168.8912339984</v>
      </c>
      <c r="D3" s="39">
        <f>C3</f>
        <v>2731168.8912339984</v>
      </c>
      <c r="F3" s="30" t="s">
        <v>315</v>
      </c>
    </row>
    <row r="4" spans="1:6" x14ac:dyDescent="0.25">
      <c r="A4" s="30" t="s">
        <v>316</v>
      </c>
      <c r="B4" s="43" t="s">
        <v>314</v>
      </c>
      <c r="C4" s="36">
        <f>'JZ_BRAND SPLITS'!I1</f>
        <v>3230931.9623529986</v>
      </c>
      <c r="D4" s="39">
        <f t="shared" ref="D4:D61" si="0">C4</f>
        <v>3230931.9623529986</v>
      </c>
      <c r="F4" s="30" t="s">
        <v>317</v>
      </c>
    </row>
    <row r="5" spans="1:6" x14ac:dyDescent="0.25">
      <c r="A5" s="30" t="s">
        <v>318</v>
      </c>
      <c r="B5" s="43" t="s">
        <v>314</v>
      </c>
      <c r="C5" s="36">
        <f>'JZ_BRAND SPLITS'!K1</f>
        <v>2656628.533756</v>
      </c>
      <c r="D5" s="39">
        <f t="shared" si="0"/>
        <v>2656628.533756</v>
      </c>
      <c r="F5" s="30" t="s">
        <v>319</v>
      </c>
    </row>
    <row r="6" spans="1:6" x14ac:dyDescent="0.25">
      <c r="A6" s="30" t="s">
        <v>320</v>
      </c>
      <c r="B6" s="43" t="s">
        <v>314</v>
      </c>
      <c r="C6" s="36">
        <f>'JZ_BRAND SPLITS'!M1</f>
        <v>2471131.9999999995</v>
      </c>
      <c r="D6" s="39">
        <f t="shared" si="0"/>
        <v>2471131.9999999995</v>
      </c>
      <c r="F6" s="30" t="s">
        <v>321</v>
      </c>
    </row>
    <row r="7" spans="1:6" x14ac:dyDescent="0.25">
      <c r="A7" s="30" t="s">
        <v>322</v>
      </c>
      <c r="B7" s="43" t="s">
        <v>314</v>
      </c>
      <c r="C7" s="36">
        <f>'JZ_BRAND SPLITS'!O1</f>
        <v>1861369.4999999995</v>
      </c>
      <c r="D7" s="39">
        <f t="shared" si="0"/>
        <v>1861369.4999999995</v>
      </c>
      <c r="F7" s="30" t="s">
        <v>323</v>
      </c>
    </row>
    <row r="8" spans="1:6" x14ac:dyDescent="0.25">
      <c r="A8" s="30" t="s">
        <v>324</v>
      </c>
      <c r="B8" s="43" t="s">
        <v>314</v>
      </c>
      <c r="C8" s="36">
        <f>'JZ_BRAND SPLITS'!Q1</f>
        <v>2435563.3649999993</v>
      </c>
      <c r="D8" s="39">
        <f t="shared" si="0"/>
        <v>2435563.3649999993</v>
      </c>
      <c r="F8" s="30" t="s">
        <v>325</v>
      </c>
    </row>
    <row r="9" spans="1:6" x14ac:dyDescent="0.25">
      <c r="A9" s="30" t="s">
        <v>326</v>
      </c>
      <c r="B9" s="43" t="s">
        <v>314</v>
      </c>
      <c r="C9" s="36">
        <f>'JZ_BRAND SPLITS'!S1</f>
        <v>2387394.7259499989</v>
      </c>
      <c r="D9" s="39">
        <f t="shared" si="0"/>
        <v>2387394.7259499989</v>
      </c>
      <c r="F9" s="30" t="s">
        <v>327</v>
      </c>
    </row>
    <row r="10" spans="1:6" x14ac:dyDescent="0.25">
      <c r="A10" s="30" t="s">
        <v>328</v>
      </c>
      <c r="B10" s="43" t="s">
        <v>314</v>
      </c>
      <c r="C10" s="36">
        <f>'JZ_BRAND SPLITS'!U1</f>
        <v>2393580.7177285003</v>
      </c>
      <c r="D10" s="39">
        <f t="shared" si="0"/>
        <v>2393580.7177285003</v>
      </c>
      <c r="F10" s="30" t="s">
        <v>329</v>
      </c>
    </row>
    <row r="11" spans="1:6" x14ac:dyDescent="0.25">
      <c r="A11" s="30" t="s">
        <v>330</v>
      </c>
      <c r="B11" s="43" t="s">
        <v>314</v>
      </c>
      <c r="C11" s="36">
        <f>'JZ_BRAND SPLITS'!W1</f>
        <v>2364410.4792603548</v>
      </c>
      <c r="D11" s="39">
        <f t="shared" si="0"/>
        <v>2364410.4792603548</v>
      </c>
      <c r="F11" s="30" t="s">
        <v>331</v>
      </c>
    </row>
    <row r="12" spans="1:6" x14ac:dyDescent="0.25">
      <c r="A12" s="30" t="s">
        <v>332</v>
      </c>
      <c r="B12" s="43" t="s">
        <v>314</v>
      </c>
      <c r="C12" s="36">
        <f>'JZ_BRAND SPLITS'!Y1</f>
        <v>2362764.1536381654</v>
      </c>
      <c r="D12" s="39">
        <f t="shared" si="0"/>
        <v>2362764.1536381654</v>
      </c>
      <c r="F12" s="30" t="s">
        <v>333</v>
      </c>
    </row>
    <row r="13" spans="1:6" x14ac:dyDescent="0.25">
      <c r="A13" s="30" t="s">
        <v>334</v>
      </c>
      <c r="B13" s="43" t="s">
        <v>314</v>
      </c>
      <c r="C13" s="36">
        <f>'JZ_BRAND SPLITS'!AA1</f>
        <v>2226399.8882473102</v>
      </c>
      <c r="D13" s="39">
        <f t="shared" si="0"/>
        <v>2226399.8882473102</v>
      </c>
      <c r="F13" s="30" t="s">
        <v>335</v>
      </c>
    </row>
    <row r="14" spans="1:6" x14ac:dyDescent="0.25">
      <c r="A14" s="30" t="s">
        <v>336</v>
      </c>
      <c r="B14" s="30" t="s">
        <v>337</v>
      </c>
      <c r="C14" s="36">
        <f>'JZ_BRAND SPLITS'!AC1</f>
        <v>2542854.8348947298</v>
      </c>
      <c r="D14" s="39">
        <f t="shared" si="0"/>
        <v>2542854.8348947298</v>
      </c>
      <c r="F14" s="30" t="s">
        <v>338</v>
      </c>
    </row>
    <row r="15" spans="1:6" x14ac:dyDescent="0.25">
      <c r="A15" s="30" t="s">
        <v>313</v>
      </c>
      <c r="B15" s="30" t="s">
        <v>337</v>
      </c>
      <c r="C15" s="36">
        <f>'JZ_BRAND SPLITS'!AE1</f>
        <v>2613314.4999999995</v>
      </c>
      <c r="D15" s="39">
        <f t="shared" si="0"/>
        <v>2613314.4999999995</v>
      </c>
      <c r="F15" s="30" t="s">
        <v>339</v>
      </c>
    </row>
    <row r="16" spans="1:6" x14ac:dyDescent="0.25">
      <c r="A16" s="30" t="s">
        <v>316</v>
      </c>
      <c r="B16" s="30" t="s">
        <v>337</v>
      </c>
      <c r="C16" s="36">
        <f>'JZ_BRAND SPLITS'!AG1</f>
        <v>2431477.9999999995</v>
      </c>
      <c r="D16" s="39">
        <f t="shared" si="0"/>
        <v>2431477.9999999995</v>
      </c>
      <c r="F16" s="30" t="s">
        <v>340</v>
      </c>
    </row>
    <row r="17" spans="1:6" x14ac:dyDescent="0.25">
      <c r="A17" s="30" t="s">
        <v>318</v>
      </c>
      <c r="B17" s="30" t="s">
        <v>337</v>
      </c>
      <c r="C17" s="36">
        <f>'JZ_BRAND SPLITS'!AI1</f>
        <v>2505366</v>
      </c>
      <c r="D17" s="39">
        <f t="shared" si="0"/>
        <v>2505366</v>
      </c>
      <c r="F17" s="30" t="s">
        <v>341</v>
      </c>
    </row>
    <row r="18" spans="1:6" x14ac:dyDescent="0.25">
      <c r="A18" s="30" t="s">
        <v>320</v>
      </c>
      <c r="B18" s="30" t="s">
        <v>337</v>
      </c>
      <c r="C18" s="36">
        <f>'JZ_BRAND SPLITS'!AK1</f>
        <v>2455871.5</v>
      </c>
      <c r="D18" s="39">
        <f t="shared" si="0"/>
        <v>2455871.5</v>
      </c>
      <c r="F18" s="30" t="s">
        <v>342</v>
      </c>
    </row>
    <row r="19" spans="1:6" x14ac:dyDescent="0.25">
      <c r="A19" s="30" t="s">
        <v>322</v>
      </c>
      <c r="B19" s="30" t="s">
        <v>337</v>
      </c>
      <c r="C19" s="36">
        <f>'JZ_BRAND SPLITS'!AM1</f>
        <v>2707471.3649999998</v>
      </c>
      <c r="D19" s="39">
        <f t="shared" si="0"/>
        <v>2707471.3649999998</v>
      </c>
      <c r="F19" s="30" t="s">
        <v>343</v>
      </c>
    </row>
    <row r="20" spans="1:6" x14ac:dyDescent="0.25">
      <c r="A20" s="30" t="s">
        <v>324</v>
      </c>
      <c r="B20" s="30" t="s">
        <v>337</v>
      </c>
      <c r="C20" s="36">
        <f>'JZ_BRAND SPLITS'!AO1</f>
        <v>2630514.7259499985</v>
      </c>
      <c r="D20" s="39">
        <f t="shared" si="0"/>
        <v>2630514.7259499985</v>
      </c>
      <c r="F20" s="30" t="s">
        <v>344</v>
      </c>
    </row>
    <row r="21" spans="1:6" x14ac:dyDescent="0.25">
      <c r="A21" s="30" t="s">
        <v>326</v>
      </c>
      <c r="B21" s="30" t="s">
        <v>337</v>
      </c>
      <c r="C21" s="36">
        <f>'JZ_BRAND SPLITS'!AQ1</f>
        <v>2393385.7177284993</v>
      </c>
      <c r="D21" s="39">
        <f t="shared" si="0"/>
        <v>2393385.7177284993</v>
      </c>
      <c r="F21" s="30" t="s">
        <v>345</v>
      </c>
    </row>
    <row r="22" spans="1:6" x14ac:dyDescent="0.25">
      <c r="A22" s="30" t="s">
        <v>328</v>
      </c>
      <c r="B22" s="30" t="s">
        <v>337</v>
      </c>
      <c r="C22" s="36">
        <f>'JZ_BRAND SPLITS'!AS1</f>
        <v>2480216.4792603548</v>
      </c>
      <c r="D22" s="39">
        <f t="shared" si="0"/>
        <v>2480216.4792603548</v>
      </c>
      <c r="F22" s="30" t="s">
        <v>346</v>
      </c>
    </row>
    <row r="23" spans="1:6" x14ac:dyDescent="0.25">
      <c r="A23" s="30" t="s">
        <v>330</v>
      </c>
      <c r="B23" s="30" t="s">
        <v>337</v>
      </c>
      <c r="C23" s="36">
        <f>'JZ_BRAND SPLITS'!AU1</f>
        <v>2562350.1536381654</v>
      </c>
      <c r="D23" s="39">
        <f t="shared" si="0"/>
        <v>2562350.1536381654</v>
      </c>
      <c r="F23" s="30" t="s">
        <v>347</v>
      </c>
    </row>
    <row r="24" spans="1:6" x14ac:dyDescent="0.25">
      <c r="A24" s="30" t="s">
        <v>332</v>
      </c>
      <c r="B24" s="30" t="s">
        <v>337</v>
      </c>
      <c r="C24" s="36">
        <f>'JZ_BRAND SPLITS'!AW1</f>
        <v>2571185.8882473097</v>
      </c>
      <c r="D24" s="39">
        <f t="shared" si="0"/>
        <v>2571185.8882473097</v>
      </c>
      <c r="F24" s="30" t="s">
        <v>348</v>
      </c>
    </row>
    <row r="25" spans="1:6" ht="13" thickBot="1" x14ac:dyDescent="0.3">
      <c r="A25" s="30" t="s">
        <v>334</v>
      </c>
      <c r="B25" s="30" t="s">
        <v>337</v>
      </c>
      <c r="C25" s="36">
        <f>'JZ_BRAND SPLITS'!AY1</f>
        <v>2303372.8348947293</v>
      </c>
      <c r="D25" s="39">
        <f t="shared" si="0"/>
        <v>2303372.8348947293</v>
      </c>
      <c r="F25" s="30" t="s">
        <v>349</v>
      </c>
    </row>
    <row r="26" spans="1:6" x14ac:dyDescent="0.25">
      <c r="A26" s="30" t="s">
        <v>336</v>
      </c>
      <c r="B26" s="44" t="s">
        <v>350</v>
      </c>
      <c r="C26" s="36">
        <f>'JZ_BRAND SPLITS'!BA1</f>
        <v>2732965.149941572</v>
      </c>
      <c r="D26" s="39">
        <f t="shared" si="0"/>
        <v>2732965.149941572</v>
      </c>
      <c r="F26" s="30" t="s">
        <v>351</v>
      </c>
    </row>
    <row r="27" spans="1:6" x14ac:dyDescent="0.25">
      <c r="A27" s="30" t="s">
        <v>313</v>
      </c>
      <c r="B27" s="30" t="s">
        <v>350</v>
      </c>
      <c r="C27" s="36">
        <f>'JZ_BRAND SPLITS'!BC1</f>
        <v>2814780.6349999998</v>
      </c>
      <c r="D27" s="39">
        <f t="shared" si="0"/>
        <v>2814780.6349999998</v>
      </c>
      <c r="F27" s="30" t="s">
        <v>352</v>
      </c>
    </row>
    <row r="28" spans="1:6" x14ac:dyDescent="0.25">
      <c r="A28" s="30" t="s">
        <v>316</v>
      </c>
      <c r="B28" s="30" t="s">
        <v>350</v>
      </c>
      <c r="C28" s="36">
        <f>'JZ_BRAND SPLITS'!BE1</f>
        <v>2614920.399999999</v>
      </c>
      <c r="D28" s="39">
        <f t="shared" si="0"/>
        <v>2614920.399999999</v>
      </c>
      <c r="F28" s="30" t="s">
        <v>353</v>
      </c>
    </row>
    <row r="29" spans="1:6" x14ac:dyDescent="0.25">
      <c r="A29" s="30" t="s">
        <v>318</v>
      </c>
      <c r="B29" s="30" t="s">
        <v>350</v>
      </c>
      <c r="C29" s="36">
        <f>'JZ_BRAND SPLITS'!BG1</f>
        <v>2683646.41</v>
      </c>
      <c r="D29" s="39">
        <f t="shared" si="0"/>
        <v>2683646.41</v>
      </c>
      <c r="F29" s="30" t="s">
        <v>354</v>
      </c>
    </row>
    <row r="30" spans="1:6" x14ac:dyDescent="0.25">
      <c r="A30" s="30" t="s">
        <v>320</v>
      </c>
      <c r="B30" s="30" t="s">
        <v>350</v>
      </c>
      <c r="C30" s="36">
        <f>'JZ_BRAND SPLITS'!BI1</f>
        <v>2629877.3649999993</v>
      </c>
      <c r="D30" s="39">
        <f t="shared" si="0"/>
        <v>2629877.3649999993</v>
      </c>
      <c r="F30" s="30" t="s">
        <v>355</v>
      </c>
    </row>
    <row r="31" spans="1:6" x14ac:dyDescent="0.25">
      <c r="A31" s="30" t="s">
        <v>322</v>
      </c>
      <c r="B31" s="30" t="s">
        <v>350</v>
      </c>
      <c r="C31" s="36">
        <f>'JZ_BRAND SPLITS'!BK1</f>
        <v>2897943.7259499999</v>
      </c>
      <c r="D31" s="39">
        <f t="shared" si="0"/>
        <v>2897943.7259499999</v>
      </c>
      <c r="F31" s="30" t="s">
        <v>356</v>
      </c>
    </row>
    <row r="32" spans="1:6" x14ac:dyDescent="0.25">
      <c r="A32" s="30" t="s">
        <v>324</v>
      </c>
      <c r="B32" s="30" t="s">
        <v>350</v>
      </c>
      <c r="C32" s="36">
        <f>'JZ_BRAND SPLITS'!BM1</f>
        <v>2818210.7177284993</v>
      </c>
      <c r="D32" s="39">
        <f t="shared" si="0"/>
        <v>2818210.7177284993</v>
      </c>
      <c r="F32" s="30" t="s">
        <v>357</v>
      </c>
    </row>
    <row r="33" spans="1:6" x14ac:dyDescent="0.25">
      <c r="A33" s="30" t="s">
        <v>326</v>
      </c>
      <c r="B33" s="30" t="s">
        <v>350</v>
      </c>
      <c r="C33" s="36">
        <f>'JZ_BRAND SPLITS'!BO1</f>
        <v>2571422.4792603548</v>
      </c>
      <c r="D33" s="39">
        <f t="shared" si="0"/>
        <v>2571422.4792603548</v>
      </c>
      <c r="F33" s="30" t="s">
        <v>358</v>
      </c>
    </row>
    <row r="34" spans="1:6" x14ac:dyDescent="0.25">
      <c r="A34" s="30" t="s">
        <v>328</v>
      </c>
      <c r="B34" s="30" t="s">
        <v>350</v>
      </c>
      <c r="C34" s="36">
        <f>'JZ_BRAND SPLITS'!BQ1</f>
        <v>2666204.1536381654</v>
      </c>
      <c r="D34" s="39">
        <f t="shared" si="0"/>
        <v>2666204.1536381654</v>
      </c>
      <c r="F34" s="30" t="s">
        <v>359</v>
      </c>
    </row>
    <row r="35" spans="1:6" x14ac:dyDescent="0.25">
      <c r="A35" s="30" t="s">
        <v>330</v>
      </c>
      <c r="B35" s="30" t="s">
        <v>350</v>
      </c>
      <c r="C35" s="36">
        <f>'JZ_BRAND SPLITS'!BS1</f>
        <v>2759048.8882473106</v>
      </c>
      <c r="D35" s="39">
        <f t="shared" si="0"/>
        <v>2759048.8882473106</v>
      </c>
      <c r="F35" s="30" t="s">
        <v>360</v>
      </c>
    </row>
    <row r="36" spans="1:6" x14ac:dyDescent="0.25">
      <c r="A36" s="30" t="s">
        <v>332</v>
      </c>
      <c r="B36" s="30" t="s">
        <v>350</v>
      </c>
      <c r="C36" s="36">
        <f>'JZ_BRAND SPLITS'!BU1</f>
        <v>2785540.8348947293</v>
      </c>
      <c r="D36" s="39">
        <f t="shared" si="0"/>
        <v>2785540.8348947293</v>
      </c>
      <c r="F36" s="30" t="s">
        <v>361</v>
      </c>
    </row>
    <row r="37" spans="1:6" x14ac:dyDescent="0.25">
      <c r="A37" s="30" t="s">
        <v>334</v>
      </c>
      <c r="B37" s="30" t="s">
        <v>350</v>
      </c>
      <c r="C37" s="36">
        <f>'JZ_BRAND SPLITS'!BW1</f>
        <v>2490229.1499415715</v>
      </c>
      <c r="D37" s="39">
        <f t="shared" si="0"/>
        <v>2490229.1499415715</v>
      </c>
      <c r="F37" s="30" t="s">
        <v>362</v>
      </c>
    </row>
    <row r="38" spans="1:6" x14ac:dyDescent="0.25">
      <c r="A38" s="30" t="s">
        <v>336</v>
      </c>
      <c r="B38" s="30" t="s">
        <v>363</v>
      </c>
      <c r="C38" s="36">
        <f>'JZ_BRAND SPLITS'!BY1</f>
        <v>2951445.9944398184</v>
      </c>
      <c r="D38" s="39">
        <f t="shared" si="0"/>
        <v>2951445.9944398184</v>
      </c>
      <c r="F38" s="30" t="s">
        <v>364</v>
      </c>
    </row>
    <row r="39" spans="1:6" x14ac:dyDescent="0.25">
      <c r="A39" s="30" t="s">
        <v>313</v>
      </c>
      <c r="B39" s="30" t="s">
        <v>363</v>
      </c>
      <c r="C39" s="36">
        <f>'JZ_BRAND SPLITS'!CA1</f>
        <v>3046042.5440500001</v>
      </c>
      <c r="D39" s="39">
        <f t="shared" si="0"/>
        <v>3046042.5440500001</v>
      </c>
      <c r="F39" s="30" t="s">
        <v>365</v>
      </c>
    </row>
    <row r="40" spans="1:6" x14ac:dyDescent="0.25">
      <c r="A40" s="30" t="s">
        <v>316</v>
      </c>
      <c r="B40" s="30" t="s">
        <v>363</v>
      </c>
      <c r="C40" s="36">
        <f>'JZ_BRAND SPLITS'!CC1</f>
        <v>2825186.3620000002</v>
      </c>
      <c r="D40" s="39">
        <f t="shared" si="0"/>
        <v>2825186.3620000002</v>
      </c>
      <c r="F40" s="30" t="s">
        <v>366</v>
      </c>
    </row>
    <row r="41" spans="1:6" x14ac:dyDescent="0.25">
      <c r="A41" s="30" t="s">
        <v>318</v>
      </c>
      <c r="B41" s="30" t="s">
        <v>363</v>
      </c>
      <c r="C41" s="36">
        <f>'JZ_BRAND SPLITS'!CE1</f>
        <v>2886742.3622999997</v>
      </c>
      <c r="D41" s="39">
        <f t="shared" si="0"/>
        <v>2886742.3622999997</v>
      </c>
      <c r="F41" s="30" t="s">
        <v>367</v>
      </c>
    </row>
    <row r="42" spans="1:6" x14ac:dyDescent="0.25">
      <c r="A42" s="30" t="s">
        <v>320</v>
      </c>
      <c r="B42" s="30" t="s">
        <v>363</v>
      </c>
      <c r="C42" s="36">
        <f>'JZ_BRAND SPLITS'!CG1</f>
        <v>2829659.7259499989</v>
      </c>
      <c r="D42" s="39">
        <f t="shared" si="0"/>
        <v>2829659.7259499989</v>
      </c>
      <c r="F42" s="30" t="s">
        <v>368</v>
      </c>
    </row>
    <row r="43" spans="1:6" x14ac:dyDescent="0.25">
      <c r="A43" s="30" t="s">
        <v>322</v>
      </c>
      <c r="B43" s="30" t="s">
        <v>363</v>
      </c>
      <c r="C43" s="36">
        <f>'JZ_BRAND SPLITS'!CI1</f>
        <v>3118395.7177284998</v>
      </c>
      <c r="D43" s="39">
        <f t="shared" si="0"/>
        <v>3118395.7177284998</v>
      </c>
      <c r="F43" s="30" t="s">
        <v>369</v>
      </c>
    </row>
    <row r="44" spans="1:6" x14ac:dyDescent="0.25">
      <c r="A44" s="30" t="s">
        <v>324</v>
      </c>
      <c r="B44" s="30" t="s">
        <v>363</v>
      </c>
      <c r="C44" s="36">
        <f>'JZ_BRAND SPLITS'!CK1</f>
        <v>3037024.9792603538</v>
      </c>
      <c r="D44" s="39">
        <f t="shared" si="0"/>
        <v>3037024.9792603538</v>
      </c>
      <c r="F44" s="30" t="s">
        <v>370</v>
      </c>
    </row>
    <row r="45" spans="1:6" x14ac:dyDescent="0.25">
      <c r="A45" s="30" t="s">
        <v>326</v>
      </c>
      <c r="B45" s="30" t="s">
        <v>363</v>
      </c>
      <c r="C45" s="36">
        <f>'JZ_BRAND SPLITS'!CM1</f>
        <v>2786782.2036381653</v>
      </c>
      <c r="D45" s="39">
        <f t="shared" si="0"/>
        <v>2786782.2036381653</v>
      </c>
      <c r="F45" s="30" t="s">
        <v>371</v>
      </c>
    </row>
    <row r="46" spans="1:6" x14ac:dyDescent="0.25">
      <c r="A46" s="30" t="s">
        <v>328</v>
      </c>
      <c r="B46" s="30" t="s">
        <v>363</v>
      </c>
      <c r="C46" s="36">
        <f>'JZ_BRAND SPLITS'!CO1</f>
        <v>2849945.3882473097</v>
      </c>
      <c r="D46" s="39">
        <f t="shared" si="0"/>
        <v>2849945.3882473097</v>
      </c>
      <c r="F46" s="30" t="s">
        <v>372</v>
      </c>
    </row>
    <row r="47" spans="1:6" x14ac:dyDescent="0.25">
      <c r="A47" s="30" t="s">
        <v>330</v>
      </c>
      <c r="B47" s="30" t="s">
        <v>363</v>
      </c>
      <c r="C47" s="36">
        <f>'JZ_BRAND SPLITS'!CQ1</f>
        <v>2941262.3348947302</v>
      </c>
      <c r="D47" s="39">
        <f t="shared" si="0"/>
        <v>2941262.3348947302</v>
      </c>
      <c r="F47" s="30" t="s">
        <v>373</v>
      </c>
    </row>
    <row r="48" spans="1:6" x14ac:dyDescent="0.25">
      <c r="A48" s="30" t="s">
        <v>332</v>
      </c>
      <c r="B48" s="30" t="s">
        <v>363</v>
      </c>
      <c r="C48" s="36">
        <f>'JZ_BRAND SPLITS'!CS1</f>
        <v>2972515.6499415715</v>
      </c>
      <c r="D48" s="39">
        <f t="shared" si="0"/>
        <v>2972515.6499415715</v>
      </c>
      <c r="F48" s="30" t="s">
        <v>374</v>
      </c>
    </row>
    <row r="49" spans="1:6" x14ac:dyDescent="0.25">
      <c r="A49" s="30" t="s">
        <v>334</v>
      </c>
      <c r="B49" s="30" t="s">
        <v>363</v>
      </c>
      <c r="C49" s="36">
        <f>'JZ_BRAND SPLITS'!CU1</f>
        <v>2652809.9944398189</v>
      </c>
      <c r="D49" s="39">
        <f t="shared" si="0"/>
        <v>2652809.9944398189</v>
      </c>
      <c r="F49" s="30" t="s">
        <v>375</v>
      </c>
    </row>
    <row r="50" spans="1:6" x14ac:dyDescent="0.25">
      <c r="A50" s="30" t="s">
        <v>336</v>
      </c>
      <c r="B50" s="30" t="s">
        <v>376</v>
      </c>
      <c r="C50" s="36">
        <f>'JZ_BRAND SPLITS'!CW1</f>
        <v>3142704.0842730133</v>
      </c>
      <c r="D50" s="39">
        <f t="shared" si="0"/>
        <v>3142704.0842730133</v>
      </c>
      <c r="F50" s="30" t="s">
        <v>377</v>
      </c>
    </row>
    <row r="51" spans="1:6" x14ac:dyDescent="0.25">
      <c r="A51" s="30" t="s">
        <v>313</v>
      </c>
      <c r="B51" s="30" t="s">
        <v>376</v>
      </c>
      <c r="C51" s="36">
        <f>'JZ_BRAND SPLITS'!CY1</f>
        <v>3248730.870371501</v>
      </c>
      <c r="D51" s="39">
        <f t="shared" si="0"/>
        <v>3248730.870371501</v>
      </c>
      <c r="F51" s="30" t="s">
        <v>378</v>
      </c>
    </row>
    <row r="52" spans="1:6" x14ac:dyDescent="0.25">
      <c r="A52" s="30" t="s">
        <v>316</v>
      </c>
      <c r="B52" s="30" t="s">
        <v>376</v>
      </c>
      <c r="C52" s="36">
        <f>'JZ_BRAND SPLITS'!DA1</f>
        <v>3015870.0528599992</v>
      </c>
      <c r="D52" s="39">
        <f t="shared" si="0"/>
        <v>3015870.0528599992</v>
      </c>
      <c r="F52" s="30" t="s">
        <v>379</v>
      </c>
    </row>
    <row r="53" spans="1:6" x14ac:dyDescent="0.25">
      <c r="A53" s="30" t="s">
        <v>318</v>
      </c>
      <c r="B53" s="30" t="s">
        <v>376</v>
      </c>
      <c r="C53" s="36">
        <f>'JZ_BRAND SPLITS'!DC1</f>
        <v>3073794.4931689999</v>
      </c>
      <c r="D53" s="39">
        <f t="shared" si="0"/>
        <v>3073794.4931689999</v>
      </c>
      <c r="F53" s="30" t="s">
        <v>380</v>
      </c>
    </row>
    <row r="54" spans="1:6" x14ac:dyDescent="0.25">
      <c r="A54" s="30" t="s">
        <v>320</v>
      </c>
      <c r="B54" s="30" t="s">
        <v>376</v>
      </c>
      <c r="C54" s="36">
        <f>'JZ_BRAND SPLITS'!DE1</f>
        <v>3013723.2177284989</v>
      </c>
      <c r="D54" s="39">
        <f t="shared" si="0"/>
        <v>3013723.2177284989</v>
      </c>
      <c r="F54" s="30" t="s">
        <v>381</v>
      </c>
    </row>
    <row r="55" spans="1:6" x14ac:dyDescent="0.25">
      <c r="A55" s="30" t="s">
        <v>322</v>
      </c>
      <c r="B55" s="30" t="s">
        <v>376</v>
      </c>
      <c r="C55" s="36">
        <f>'JZ_BRAND SPLITS'!DG1</f>
        <v>3324222.029260355</v>
      </c>
      <c r="D55" s="39">
        <f t="shared" si="0"/>
        <v>3324222.029260355</v>
      </c>
      <c r="F55" s="30" t="s">
        <v>382</v>
      </c>
    </row>
    <row r="56" spans="1:6" x14ac:dyDescent="0.25">
      <c r="A56" s="30" t="s">
        <v>324</v>
      </c>
      <c r="B56" s="30" t="s">
        <v>376</v>
      </c>
      <c r="C56" s="36">
        <f>'JZ_BRAND SPLITS'!DI1</f>
        <v>3245433.6286381651</v>
      </c>
      <c r="D56" s="39">
        <f t="shared" si="0"/>
        <v>3245433.6286381651</v>
      </c>
      <c r="F56" s="30" t="s">
        <v>383</v>
      </c>
    </row>
    <row r="57" spans="1:6" x14ac:dyDescent="0.25">
      <c r="A57" s="30" t="s">
        <v>326</v>
      </c>
      <c r="B57" s="30" t="s">
        <v>376</v>
      </c>
      <c r="C57" s="36">
        <f>'JZ_BRAND SPLITS'!DK1</f>
        <v>3019464.2697473108</v>
      </c>
      <c r="D57" s="39">
        <f t="shared" si="0"/>
        <v>3019464.2697473108</v>
      </c>
      <c r="F57" s="30" t="s">
        <v>384</v>
      </c>
    </row>
    <row r="58" spans="1:6" x14ac:dyDescent="0.25">
      <c r="A58" s="30" t="s">
        <v>328</v>
      </c>
      <c r="B58" s="30" t="s">
        <v>376</v>
      </c>
      <c r="C58" s="36">
        <f>'JZ_BRAND SPLITS'!DM1</f>
        <v>2978887.8498947294</v>
      </c>
      <c r="D58" s="39">
        <f t="shared" si="0"/>
        <v>2978887.8498947294</v>
      </c>
      <c r="F58" s="30" t="s">
        <v>385</v>
      </c>
    </row>
    <row r="59" spans="1:6" x14ac:dyDescent="0.25">
      <c r="A59" s="30" t="s">
        <v>330</v>
      </c>
      <c r="B59" s="30" t="s">
        <v>376</v>
      </c>
      <c r="C59" s="36">
        <f>'JZ_BRAND SPLITS'!DO1</f>
        <v>3113775.984941571</v>
      </c>
      <c r="D59" s="39">
        <f t="shared" si="0"/>
        <v>3113775.984941571</v>
      </c>
      <c r="F59" s="30" t="s">
        <v>386</v>
      </c>
    </row>
    <row r="60" spans="1:6" x14ac:dyDescent="0.25">
      <c r="A60" s="30" t="s">
        <v>332</v>
      </c>
      <c r="B60" s="30" t="s">
        <v>376</v>
      </c>
      <c r="C60" s="36">
        <f>'JZ_BRAND SPLITS'!DQ1</f>
        <v>3115473.3644398181</v>
      </c>
      <c r="D60" s="39">
        <f t="shared" si="0"/>
        <v>3115473.3644398181</v>
      </c>
      <c r="F60" s="30" t="s">
        <v>387</v>
      </c>
    </row>
    <row r="61" spans="1:6" x14ac:dyDescent="0.25">
      <c r="A61" s="30" t="s">
        <v>334</v>
      </c>
      <c r="B61" s="45" t="s">
        <v>376</v>
      </c>
      <c r="C61" s="36">
        <f>'JZ_BRAND SPLITS'!DS1</f>
        <v>3115828.0392730124</v>
      </c>
      <c r="D61" s="39">
        <f t="shared" si="0"/>
        <v>3115828.0392730124</v>
      </c>
      <c r="F61" s="30" t="s">
        <v>388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E3F8A730-4200-4DDD-B616-30D93316EF87}">
            <xm:f>'JZ_BRAND SPLITS'!$DT$1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CABCD59331084C8F0F91D4B742F49B" ma:contentTypeVersion="11" ma:contentTypeDescription="Create a new document." ma:contentTypeScope="" ma:versionID="81bf79a2520a16fd3220799de2dd535a">
  <xsd:schema xmlns:xsd="http://www.w3.org/2001/XMLSchema" xmlns:xs="http://www.w3.org/2001/XMLSchema" xmlns:p="http://schemas.microsoft.com/office/2006/metadata/properties" xmlns:ns2="74b89c4b-a4b9-487e-b5b5-71eb83867c81" xmlns:ns3="c144d9f5-2498-4cf1-9ba4-994f77527b6d" targetNamespace="http://schemas.microsoft.com/office/2006/metadata/properties" ma:root="true" ma:fieldsID="50e490cc69d35c0d9ae65abbfe6d507e" ns2:_="" ns3:_="">
    <xsd:import namespace="74b89c4b-a4b9-487e-b5b5-71eb83867c81"/>
    <xsd:import namespace="c144d9f5-2498-4cf1-9ba4-994f77527b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89c4b-a4b9-487e-b5b5-71eb83867c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66ae13-d3ab-42ed-8a1e-180795c141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4d9f5-2498-4cf1-9ba4-994f77527b6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8fc7e11-f15d-4973-acb6-a8b665a743a9}" ma:internalName="TaxCatchAll" ma:showField="CatchAllData" ma:web="c144d9f5-2498-4cf1-9ba4-994f77527b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b89c4b-a4b9-487e-b5b5-71eb83867c81">
      <Terms xmlns="http://schemas.microsoft.com/office/infopath/2007/PartnerControls"/>
    </lcf76f155ced4ddcb4097134ff3c332f>
    <TaxCatchAll xmlns="c144d9f5-2498-4cf1-9ba4-994f77527b6d" xsi:nil="true"/>
  </documentManagement>
</p:properties>
</file>

<file path=customXml/itemProps1.xml><?xml version="1.0" encoding="utf-8"?>
<ds:datastoreItem xmlns:ds="http://schemas.openxmlformats.org/officeDocument/2006/customXml" ds:itemID="{4E3450A3-46FD-4E30-940E-6E1977E3FE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b89c4b-a4b9-487e-b5b5-71eb83867c81"/>
    <ds:schemaRef ds:uri="c144d9f5-2498-4cf1-9ba4-994f77527b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459F7F-70F4-4BA2-B7B9-F24D87C5C9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7460E8-65FB-49DB-BCFE-C8E62E95E010}">
  <ds:schemaRefs>
    <ds:schemaRef ds:uri="http://schemas.microsoft.com/office/2006/metadata/properties"/>
    <ds:schemaRef ds:uri="http://schemas.microsoft.com/office/infopath/2007/PartnerControls"/>
    <ds:schemaRef ds:uri="74b89c4b-a4b9-487e-b5b5-71eb83867c81"/>
    <ds:schemaRef ds:uri="c144d9f5-2498-4cf1-9ba4-994f77527b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 Year Supply Plan</vt:lpstr>
      <vt:lpstr>JZ_BRAND SPLITS</vt:lpstr>
      <vt:lpstr>MYNX</vt:lpstr>
      <vt:lpstr>SELUTION</vt:lpstr>
      <vt:lpstr>SUMMARY</vt:lpstr>
    </vt:vector>
  </TitlesOfParts>
  <Manager/>
  <Company>The Oliver Wight Companies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ESOPT Pivot Table by Month and Year</dc:title>
  <dc:subject/>
  <dc:creator>Oliver Wight LLC</dc:creator>
  <cp:keywords/>
  <dc:description/>
  <cp:lastModifiedBy>Diaz Alba, Maria</cp:lastModifiedBy>
  <cp:revision/>
  <dcterms:created xsi:type="dcterms:W3CDTF">1999-06-23T19:43:19Z</dcterms:created>
  <dcterms:modified xsi:type="dcterms:W3CDTF">2025-10-20T14:07:01Z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0x01010024CABCD59331084C8F0F91D4B742F49B</vt:lpwstr>
  </property>
  <property fmtid="{D5CDD505-2E9C-101B-9397-08002B2CF9AE}" pid="3" name="MediaServiceImageTags">
    <vt:lpwstr/>
  </property>
</Properties>
</file>